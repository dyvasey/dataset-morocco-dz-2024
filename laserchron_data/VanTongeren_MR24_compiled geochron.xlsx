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vantongeren/Desktop/E2 U-Pb data/"/>
    </mc:Choice>
  </mc:AlternateContent>
  <xr:revisionPtr revIDLastSave="0" documentId="8_{E03B86BF-89EC-9944-BF03-3313942BD302}" xr6:coauthVersionLast="47" xr6:coauthVersionMax="47" xr10:uidLastSave="{00000000-0000-0000-0000-000000000000}"/>
  <bookViews>
    <workbookView xWindow="0" yWindow="500" windowWidth="28800" windowHeight="16500" activeTab="6" xr2:uid="{00000000-000D-0000-FFFF-FFFF00000000}"/>
  </bookViews>
  <sheets>
    <sheet name="Sheet1" sheetId="1" r:id="rId1"/>
    <sheet name="MR24-15" sheetId="2" r:id="rId2"/>
    <sheet name="Sheet5" sheetId="5" r:id="rId3"/>
    <sheet name="MR24-13" sheetId="3" r:id="rId4"/>
    <sheet name="MR24-16" sheetId="4" r:id="rId5"/>
    <sheet name="MR24-10" sheetId="6" r:id="rId6"/>
    <sheet name="MR24-12" sheetId="7" r:id="rId7"/>
  </sheets>
  <definedNames>
    <definedName name="_xlchart.v1.0" hidden="1">'MR24-15'!$H$2</definedName>
    <definedName name="_xlchart.v1.1" hidden="1">'MR24-15'!$N$2:$N$18</definedName>
    <definedName name="_xlchart.v1.10" hidden="1">'MR24-15'!$R$27:$R$64</definedName>
    <definedName name="_xlchart.v1.11" hidden="1">'MR24-15'!$H$4</definedName>
    <definedName name="_xlchart.v1.12" hidden="1">'MR24-15'!$R$27:$R$64</definedName>
    <definedName name="_xlchart.v1.2" hidden="1">'MR24-15'!$R$27:$R$65</definedName>
    <definedName name="_xlchart.v1.3" hidden="1">'MR24-15'!$R$27:$R$65</definedName>
    <definedName name="_xlchart.v1.4" hidden="1">'MR24-15'!$H$4</definedName>
    <definedName name="_xlchart.v1.5" hidden="1">'MR24-15'!$R$27:$R$65</definedName>
    <definedName name="_xlchart.v1.6" hidden="1">'MR24-15'!$H$10</definedName>
    <definedName name="_xlchart.v1.7" hidden="1">'MR24-15'!$N$2:$N$18</definedName>
    <definedName name="_xlchart.v1.8" hidden="1">'MR24-15'!$R$27:$R$65</definedName>
    <definedName name="_xlchart.v1.9" hidden="1">'MR24-15'!$H$4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83" i="7" l="1"/>
  <c r="R77" i="3" l="1"/>
  <c r="R73" i="4"/>
</calcChain>
</file>

<file path=xl/sharedStrings.xml><?xml version="1.0" encoding="utf-8"?>
<sst xmlns="http://schemas.openxmlformats.org/spreadsheetml/2006/main" count="2226" uniqueCount="556">
  <si>
    <t>Aliquot Name</t>
  </si>
  <si>
    <t>Stratigraphic Formation Name</t>
  </si>
  <si>
    <t>Stratigraphic Age</t>
  </si>
  <si>
    <t>Rock Type</t>
  </si>
  <si>
    <t>Mineral</t>
  </si>
  <si>
    <t>Method</t>
  </si>
  <si>
    <t>Latitude</t>
  </si>
  <si>
    <t>Longitude</t>
  </si>
  <si>
    <t>Internal Uncertainty Level</t>
  </si>
  <si>
    <t>External Uncertainty 206/238 (% two sigma)</t>
  </si>
  <si>
    <t>External Uncertainty 206/207 (% two sigma)</t>
  </si>
  <si>
    <t>External Uncertainty 208/232 (% two sigma)</t>
  </si>
  <si>
    <t>Analysis Purpose</t>
  </si>
  <si>
    <t>Laboratory Name</t>
  </si>
  <si>
    <t>Analyst Name</t>
  </si>
  <si>
    <t>Aliquot Reference</t>
  </si>
  <si>
    <t>Aliquot Instrumental Method</t>
  </si>
  <si>
    <t>Aliquot Instrumental Reference</t>
  </si>
  <si>
    <t>Accepted Unknown Analyses</t>
  </si>
  <si>
    <t>Analysis</t>
  </si>
  <si>
    <t>MR24-15 1</t>
  </si>
  <si>
    <t>MR24-15 3</t>
  </si>
  <si>
    <t>MR24-15 4</t>
  </si>
  <si>
    <t>PLES - 1</t>
  </si>
  <si>
    <t>MR24-15 6</t>
  </si>
  <si>
    <t>MR24-15 7</t>
  </si>
  <si>
    <t>MR24-15 8</t>
  </si>
  <si>
    <t>MR24-15 9</t>
  </si>
  <si>
    <t>MR24-15 10</t>
  </si>
  <si>
    <t>MR24-15 11</t>
  </si>
  <si>
    <t>MR24-15 12</t>
  </si>
  <si>
    <t>MR24-15 13</t>
  </si>
  <si>
    <t>MR24-15 14</t>
  </si>
  <si>
    <t>MR24-15 15</t>
  </si>
  <si>
    <t>PLES - 2</t>
  </si>
  <si>
    <t>MR24-15 16</t>
  </si>
  <si>
    <t>MR24-15 17</t>
  </si>
  <si>
    <t>MR24-15 18</t>
  </si>
  <si>
    <t>MR24-15 19</t>
  </si>
  <si>
    <t>MR24-15 21</t>
  </si>
  <si>
    <t>MR24-15 22</t>
  </si>
  <si>
    <t>MR24-15 23</t>
  </si>
  <si>
    <t>MR24-15 24</t>
  </si>
  <si>
    <t>MR24-15 25</t>
  </si>
  <si>
    <t>MR24-15 26</t>
  </si>
  <si>
    <t>MR24-15 27</t>
  </si>
  <si>
    <t>MR24-15 28</t>
  </si>
  <si>
    <t>PLES - 3</t>
  </si>
  <si>
    <t>MR24-15 29</t>
  </si>
  <si>
    <t>MR24-15 30</t>
  </si>
  <si>
    <t>MR24-15 31</t>
  </si>
  <si>
    <t>MR24-15 32</t>
  </si>
  <si>
    <t>MR24-15 33</t>
  </si>
  <si>
    <t>MR24-15 34</t>
  </si>
  <si>
    <t>MR24-15 35</t>
  </si>
  <si>
    <t>MR24-15 36</t>
  </si>
  <si>
    <t>MR24-15 37</t>
  </si>
  <si>
    <t>MR24-15 38</t>
  </si>
  <si>
    <t>MR24-15 39</t>
  </si>
  <si>
    <t>MR24-15 40</t>
  </si>
  <si>
    <t>MR24-15 41</t>
  </si>
  <si>
    <t>MR24-15 42</t>
  </si>
  <si>
    <t>MR24-13 1</t>
  </si>
  <si>
    <t>MR24-13 2</t>
  </si>
  <si>
    <t>MR24-13 3</t>
  </si>
  <si>
    <t>PLES - 4</t>
  </si>
  <si>
    <t>MR24-13 4</t>
  </si>
  <si>
    <t>MR24-13 5</t>
  </si>
  <si>
    <t>MR24-13 6</t>
  </si>
  <si>
    <t>MR24-13 7</t>
  </si>
  <si>
    <t>MR24-13 8</t>
  </si>
  <si>
    <t>MR24-13 9</t>
  </si>
  <si>
    <t>MR24-13 10</t>
  </si>
  <si>
    <t>MR24-13 11</t>
  </si>
  <si>
    <t>MR24-13 12</t>
  </si>
  <si>
    <t>MR24-13 13</t>
  </si>
  <si>
    <t>MR24-13 14</t>
  </si>
  <si>
    <t>MR24-13 15</t>
  </si>
  <si>
    <t>MR24-13 16</t>
  </si>
  <si>
    <t>MR24-13 17</t>
  </si>
  <si>
    <t>MR24-13 18</t>
  </si>
  <si>
    <t>MR24-13 19</t>
  </si>
  <si>
    <t>MR24-13 20</t>
  </si>
  <si>
    <t>PLES - 5</t>
  </si>
  <si>
    <t>MR24-13 21</t>
  </si>
  <si>
    <t>MR24-13 22</t>
  </si>
  <si>
    <t>MR24-13 23</t>
  </si>
  <si>
    <t>MR24-13 24</t>
  </si>
  <si>
    <t>MR24-13 25</t>
  </si>
  <si>
    <t>MR24-13 26</t>
  </si>
  <si>
    <t>MR24-13 27</t>
  </si>
  <si>
    <t>MR24-13 28</t>
  </si>
  <si>
    <t>MR24-13 29</t>
  </si>
  <si>
    <t>MR24-13 30</t>
  </si>
  <si>
    <t>MR24-13 31</t>
  </si>
  <si>
    <t>MR24-13 32</t>
  </si>
  <si>
    <t>MR24-13 33</t>
  </si>
  <si>
    <t>MR24-13 34</t>
  </si>
  <si>
    <t>MR24-13 35</t>
  </si>
  <si>
    <t>MR24-13 36</t>
  </si>
  <si>
    <t>MR24-13 37</t>
  </si>
  <si>
    <t>PLES - 6</t>
  </si>
  <si>
    <t>MR24-13 38</t>
  </si>
  <si>
    <t>MR24-13 39</t>
  </si>
  <si>
    <t>MR24-13 40</t>
  </si>
  <si>
    <t>MR24-13 41</t>
  </si>
  <si>
    <t>MR24-13 42</t>
  </si>
  <si>
    <t>MR24-13 43</t>
  </si>
  <si>
    <t>MR24-13 45</t>
  </si>
  <si>
    <t>MR24-13 46</t>
  </si>
  <si>
    <t>MR24-13 47</t>
  </si>
  <si>
    <t>MR24-13 49</t>
  </si>
  <si>
    <t>MR24-13 50</t>
  </si>
  <si>
    <t>MR24-16 1</t>
  </si>
  <si>
    <t>MR24-16 2</t>
  </si>
  <si>
    <t>MR24-16 3</t>
  </si>
  <si>
    <t>MR24-16 4</t>
  </si>
  <si>
    <t>PLES - 7</t>
  </si>
  <si>
    <t>MR24-16 5</t>
  </si>
  <si>
    <t>MR24-16 7</t>
  </si>
  <si>
    <t>MR24-16 8</t>
  </si>
  <si>
    <t>MR24-16 9</t>
  </si>
  <si>
    <t>MR24-16 10</t>
  </si>
  <si>
    <t>MR24-16 11</t>
  </si>
  <si>
    <t>MR24-16 12</t>
  </si>
  <si>
    <t>MR24-16 13</t>
  </si>
  <si>
    <t>MR24-16 14</t>
  </si>
  <si>
    <t>MR24-16 15</t>
  </si>
  <si>
    <t>MR24-16 16</t>
  </si>
  <si>
    <t>MR24-16 17</t>
  </si>
  <si>
    <t>MR24-16 18</t>
  </si>
  <si>
    <t>MR24-16 19</t>
  </si>
  <si>
    <t>MR24-16 20</t>
  </si>
  <si>
    <t>MR24-16 21</t>
  </si>
  <si>
    <t>MR24-16 22</t>
  </si>
  <si>
    <t>MR24-16 23</t>
  </si>
  <si>
    <t>MR24-16 25</t>
  </si>
  <si>
    <t>MR24-16 27</t>
  </si>
  <si>
    <t>MR24-16 28</t>
  </si>
  <si>
    <t>MR24-16 29</t>
  </si>
  <si>
    <t>MR24-16 31</t>
  </si>
  <si>
    <t>MR24-16 32</t>
  </si>
  <si>
    <t>MR24-16 33</t>
  </si>
  <si>
    <t>MR24-16 34</t>
  </si>
  <si>
    <t>MR24-16 35</t>
  </si>
  <si>
    <t>MR24-16 36</t>
  </si>
  <si>
    <t>MR24-16 37</t>
  </si>
  <si>
    <t>MR24-16 38</t>
  </si>
  <si>
    <t>PLES - 8</t>
  </si>
  <si>
    <t>MR24-16 39</t>
  </si>
  <si>
    <t>MR24-16 40</t>
  </si>
  <si>
    <t>MR24-16 41</t>
  </si>
  <si>
    <t>MR24-16 42</t>
  </si>
  <si>
    <t>MR24-16 44</t>
  </si>
  <si>
    <t>MR24-16 45</t>
  </si>
  <si>
    <t>MR24-16 46</t>
  </si>
  <si>
    <t>MR24-16 47</t>
  </si>
  <si>
    <t>MR24-16 48</t>
  </si>
  <si>
    <t>MR24-16 49</t>
  </si>
  <si>
    <t>MR24-16 50</t>
  </si>
  <si>
    <t>Zircon</t>
  </si>
  <si>
    <t>U-Pb</t>
  </si>
  <si>
    <t>two sigma</t>
  </si>
  <si>
    <t>Arizona LaserChron Center</t>
  </si>
  <si>
    <t>LA-ICPMS</t>
  </si>
  <si>
    <t>doi:10.1029/2007GC001805</t>
  </si>
  <si>
    <t>doi.org/10.1130/GES00889.1</t>
  </si>
  <si>
    <t>U</t>
  </si>
  <si>
    <t>(ppm)</t>
  </si>
  <si>
    <t>Ratios</t>
  </si>
  <si>
    <t>206Pb</t>
  </si>
  <si>
    <t>204Pb</t>
  </si>
  <si>
    <t>U/Th</t>
  </si>
  <si>
    <t xml:space="preserve"> </t>
  </si>
  <si>
    <t>206Pb*</t>
  </si>
  <si>
    <t>207Pb*</t>
  </si>
  <si>
    <t>± 2s</t>
  </si>
  <si>
    <t>(%)</t>
  </si>
  <si>
    <t>207Pb*</t>
  </si>
  <si>
    <t>235U</t>
  </si>
  <si>
    <t>± 2s</t>
  </si>
  <si>
    <t>(%)</t>
  </si>
  <si>
    <t>206Pb*</t>
  </si>
  <si>
    <t>238U</t>
  </si>
  <si>
    <t>± 2s</t>
  </si>
  <si>
    <t>(%)</t>
  </si>
  <si>
    <t>error</t>
  </si>
  <si>
    <t>corr.</t>
  </si>
  <si>
    <t>Ages (Ma)</t>
  </si>
  <si>
    <t>206Pb*</t>
  </si>
  <si>
    <t>238U</t>
  </si>
  <si>
    <t>± 2s</t>
  </si>
  <si>
    <t>(Ma)</t>
  </si>
  <si>
    <t>207Pb*</t>
  </si>
  <si>
    <t>235U</t>
  </si>
  <si>
    <t>± 2s</t>
  </si>
  <si>
    <t>(Ma)</t>
  </si>
  <si>
    <t>206Pb*</t>
  </si>
  <si>
    <t>207Pb*</t>
  </si>
  <si>
    <t>± 2s</t>
  </si>
  <si>
    <t>(Ma)</t>
  </si>
  <si>
    <t>Best age</t>
  </si>
  <si>
    <t>(Ma)</t>
  </si>
  <si>
    <t>± 2s</t>
  </si>
  <si>
    <t>(Ma)</t>
  </si>
  <si>
    <t>Conc</t>
  </si>
  <si>
    <t>(%)</t>
  </si>
  <si>
    <t>Data Reduction Parameters:</t>
  </si>
  <si>
    <t>Cutoff Values</t>
  </si>
  <si>
    <t>Unknowns</t>
  </si>
  <si>
    <t>Standards</t>
  </si>
  <si>
    <t>Systematic Uncertainty 6/8 (%):</t>
  </si>
  <si>
    <t>Systematic Uncertainty 6/7 (%):</t>
  </si>
  <si>
    <t>Systematic Uncertainty 8/2 (%):</t>
  </si>
  <si>
    <t>Rejected Unknown Analyses</t>
  </si>
  <si>
    <t>Analysis</t>
  </si>
  <si>
    <t>MR24-15 2</t>
  </si>
  <si>
    <t>MR24-15 5</t>
  </si>
  <si>
    <t>MR24-15 20</t>
  </si>
  <si>
    <t>MR24-13 44</t>
  </si>
  <si>
    <t>MR24-13 48</t>
  </si>
  <si>
    <t>MR24-16 6</t>
  </si>
  <si>
    <t>MR24-16 24</t>
  </si>
  <si>
    <t>MR24-16 26</t>
  </si>
  <si>
    <t>MR24-16 30</t>
  </si>
  <si>
    <t>MR24-16 43</t>
  </si>
  <si>
    <t>6/8-6/7 Best Age Cutoff (Ma)</t>
  </si>
  <si>
    <t>900</t>
  </si>
  <si>
    <t>Total (2s)</t>
  </si>
  <si>
    <t>U</t>
  </si>
  <si>
    <t>(ppm)</t>
  </si>
  <si>
    <t>Discordance Cutoff (Ma)</t>
  </si>
  <si>
    <t>600</t>
  </si>
  <si>
    <t>Fract Corr (1s)</t>
  </si>
  <si>
    <t>Ratios</t>
  </si>
  <si>
    <t>206Pb</t>
  </si>
  <si>
    <t>204Pb</t>
  </si>
  <si>
    <t>6/8 Unc Cutoff Unk (%)</t>
  </si>
  <si>
    <t>10</t>
  </si>
  <si>
    <t>2</t>
  </si>
  <si>
    <t>Long-Term Variance (1s)</t>
  </si>
  <si>
    <t>U/Th</t>
  </si>
  <si>
    <t xml:space="preserve"> </t>
  </si>
  <si>
    <t>6/7 Unc Cutoff Unk</t>
  </si>
  <si>
    <t>10</t>
  </si>
  <si>
    <t>0</t>
  </si>
  <si>
    <t>Common Pb (1s)</t>
  </si>
  <si>
    <t>206Pb*</t>
  </si>
  <si>
    <t>207Pb*</t>
  </si>
  <si>
    <t>6/8 Unc Cutoff Std(%)</t>
  </si>
  <si>
    <t>10</t>
  </si>
  <si>
    <t>0</t>
  </si>
  <si>
    <t>Standard Age (1s)</t>
  </si>
  <si>
    <t>± 2s</t>
  </si>
  <si>
    <t>(%)</t>
  </si>
  <si>
    <t>6/7 Unc Cutoff Std</t>
  </si>
  <si>
    <t>10</t>
  </si>
  <si>
    <t>0</t>
  </si>
  <si>
    <t>Decay Constant (1s)</t>
  </si>
  <si>
    <t>207Pb*</t>
  </si>
  <si>
    <t>235U</t>
  </si>
  <si>
    <t>Disc Filter (%)</t>
  </si>
  <si>
    <t>20</t>
  </si>
  <si>
    <t>3</t>
  </si>
  <si>
    <t>0</t>
  </si>
  <si>
    <t>± 2s</t>
  </si>
  <si>
    <t>(%)</t>
  </si>
  <si>
    <t>Rev Disc Filter (%)</t>
  </si>
  <si>
    <t>5</t>
  </si>
  <si>
    <t>0</t>
  </si>
  <si>
    <t>206Pb*</t>
  </si>
  <si>
    <t>238U</t>
  </si>
  <si>
    <t>6/8 Offset Cutoff Std (%)</t>
  </si>
  <si>
    <t>5</t>
  </si>
  <si>
    <t>2</t>
  </si>
  <si>
    <t>± 2s</t>
  </si>
  <si>
    <t>(%)</t>
  </si>
  <si>
    <t>6/7 Offset Cutoff Std (%)</t>
  </si>
  <si>
    <t>5</t>
  </si>
  <si>
    <t>3</t>
  </si>
  <si>
    <t>error</t>
  </si>
  <si>
    <t>corr.</t>
  </si>
  <si>
    <t>Stability Cutoff (%)</t>
  </si>
  <si>
    <t>5</t>
  </si>
  <si>
    <t>4</t>
  </si>
  <si>
    <t>0</t>
  </si>
  <si>
    <t>FC</t>
  </si>
  <si>
    <t>SL</t>
  </si>
  <si>
    <t>R33</t>
  </si>
  <si>
    <t>Ages (Ma)</t>
  </si>
  <si>
    <t>206Pb*</t>
  </si>
  <si>
    <t>238U</t>
  </si>
  <si>
    <t>Max 204 (cps)</t>
  </si>
  <si>
    <t>500</t>
  </si>
  <si>
    <t>3</t>
  </si>
  <si>
    <t>0</t>
  </si>
  <si>
    <t>6/8 Age (Ma)</t>
  </si>
  <si>
    <t>1100.2</t>
  </si>
  <si>
    <t>556.4</t>
  </si>
  <si>
    <t>417.9</t>
  </si>
  <si>
    <t>± 2s</t>
  </si>
  <si>
    <t>(Ma)</t>
  </si>
  <si>
    <t>Min 235 (cps)</t>
  </si>
  <si>
    <t>3000</t>
  </si>
  <si>
    <t>0</t>
  </si>
  <si>
    <t>1</t>
  </si>
  <si>
    <t>6/8 Age ± 2s (Ma)</t>
  </si>
  <si>
    <t>207Pb*</t>
  </si>
  <si>
    <t>235U</t>
  </si>
  <si>
    <t>Operator Rejected</t>
  </si>
  <si>
    <t>0</t>
  </si>
  <si>
    <t>6/8 Age (MSWD)</t>
  </si>
  <si>
    <t>± 2s</t>
  </si>
  <si>
    <t>(Ma)</t>
  </si>
  <si>
    <t>Operator Accepted</t>
  </si>
  <si>
    <t>0</t>
  </si>
  <si>
    <t>6/7 Age (Ma)</t>
  </si>
  <si>
    <t>1095</t>
  </si>
  <si>
    <t>558.5</t>
  </si>
  <si>
    <t>435.5</t>
  </si>
  <si>
    <t>206Pb*</t>
  </si>
  <si>
    <t>207Pb*</t>
  </si>
  <si>
    <t>Rejected Analyses</t>
  </si>
  <si>
    <t>10</t>
  </si>
  <si>
    <t>4</t>
  </si>
  <si>
    <t>6/7 Age ± 2s (Ma)</t>
  </si>
  <si>
    <t>± 2s</t>
  </si>
  <si>
    <t>(Ma)</t>
  </si>
  <si>
    <t>Total # Analyses</t>
  </si>
  <si>
    <t>150</t>
  </si>
  <si>
    <t>78</t>
  </si>
  <si>
    <t>6/7 Age (MSWD)</t>
  </si>
  <si>
    <t>Best age</t>
  </si>
  <si>
    <t>(Ma)</t>
  </si>
  <si>
    <t>Use SL 6/8?</t>
  </si>
  <si>
    <t>yes</t>
  </si>
  <si>
    <t>8/2 Age (Ma)</t>
  </si>
  <si>
    <t>1102.2</t>
  </si>
  <si>
    <t>557.3</t>
  </si>
  <si>
    <t>428</t>
  </si>
  <si>
    <t>± 2s</t>
  </si>
  <si>
    <t>(Ma)</t>
  </si>
  <si>
    <t>Use SL 6/7?</t>
  </si>
  <si>
    <t>yes</t>
  </si>
  <si>
    <t>8/2 Age ± 2s (Ma)</t>
  </si>
  <si>
    <t>Conc</t>
  </si>
  <si>
    <t>(%)</t>
  </si>
  <si>
    <t>Use R33 6/8?</t>
  </si>
  <si>
    <t>no</t>
  </si>
  <si>
    <t>8/2 Age (MSWD)</t>
  </si>
  <si>
    <t>206/204 factor</t>
  </si>
  <si>
    <t>2</t>
  </si>
  <si>
    <t>206 lin factor</t>
  </si>
  <si>
    <t>0</t>
  </si>
  <si>
    <t>Overdispersion Factor:</t>
  </si>
  <si>
    <t>Accepted Standards</t>
  </si>
  <si>
    <t>Analysis</t>
  </si>
  <si>
    <t>FC 1</t>
  </si>
  <si>
    <t>FC 2</t>
  </si>
  <si>
    <t>FC 4</t>
  </si>
  <si>
    <t>SLF 1</t>
  </si>
  <si>
    <t>SLF 2</t>
  </si>
  <si>
    <t>R33 1</t>
  </si>
  <si>
    <t>R33 2</t>
  </si>
  <si>
    <t>FC 5</t>
  </si>
  <si>
    <t>FC 6</t>
  </si>
  <si>
    <t>SLF 3</t>
  </si>
  <si>
    <t>FC 7</t>
  </si>
  <si>
    <t>SLF 4</t>
  </si>
  <si>
    <t>FC 8</t>
  </si>
  <si>
    <t>SLF 5</t>
  </si>
  <si>
    <t>FC 9</t>
  </si>
  <si>
    <t>SLF 6</t>
  </si>
  <si>
    <t>R33 3</t>
  </si>
  <si>
    <t>FC 10</t>
  </si>
  <si>
    <t>SLF 7</t>
  </si>
  <si>
    <t>SLF 8</t>
  </si>
  <si>
    <t>FC 12</t>
  </si>
  <si>
    <t>FC 13</t>
  </si>
  <si>
    <t>SLF 9</t>
  </si>
  <si>
    <t>FC 14</t>
  </si>
  <si>
    <t>R33 4</t>
  </si>
  <si>
    <t>FC 15</t>
  </si>
  <si>
    <t>SLF 11</t>
  </si>
  <si>
    <t>FC 16</t>
  </si>
  <si>
    <t>SLF 12</t>
  </si>
  <si>
    <t>FC 17</t>
  </si>
  <si>
    <t>SLF 13</t>
  </si>
  <si>
    <t>FC 18</t>
  </si>
  <si>
    <t>SLF 14</t>
  </si>
  <si>
    <t>FC 19</t>
  </si>
  <si>
    <t>R33 5</t>
  </si>
  <si>
    <t>FC 20</t>
  </si>
  <si>
    <t>SLF 15</t>
  </si>
  <si>
    <t>SLF 16</t>
  </si>
  <si>
    <t>FC 22</t>
  </si>
  <si>
    <t>SLF 17</t>
  </si>
  <si>
    <t>FC 23</t>
  </si>
  <si>
    <t>SLF 18</t>
  </si>
  <si>
    <t>FC 24</t>
  </si>
  <si>
    <t>SLF 19</t>
  </si>
  <si>
    <t>R33 6</t>
  </si>
  <si>
    <t>FC 25</t>
  </si>
  <si>
    <t>SLF 20</t>
  </si>
  <si>
    <t>FC 26</t>
  </si>
  <si>
    <t>FC 27</t>
  </si>
  <si>
    <t>SLF 21</t>
  </si>
  <si>
    <t>FC 28</t>
  </si>
  <si>
    <t>SLF 22</t>
  </si>
  <si>
    <t>FC 29</t>
  </si>
  <si>
    <t>SLF 23</t>
  </si>
  <si>
    <t>R33 7</t>
  </si>
  <si>
    <t>FC 30</t>
  </si>
  <si>
    <t>SLF 24</t>
  </si>
  <si>
    <t>FC 31</t>
  </si>
  <si>
    <t>SLF 25</t>
  </si>
  <si>
    <t>FC 32</t>
  </si>
  <si>
    <t>SLF 26</t>
  </si>
  <si>
    <t>FC 33</t>
  </si>
  <si>
    <t>FC 34</t>
  </si>
  <si>
    <t>SLF 27</t>
  </si>
  <si>
    <t>R33 8</t>
  </si>
  <si>
    <t>FC 35</t>
  </si>
  <si>
    <t>R33 9</t>
  </si>
  <si>
    <t>R33 10</t>
  </si>
  <si>
    <t>SLF 28</t>
  </si>
  <si>
    <t>SLF 29</t>
  </si>
  <si>
    <t>FC 36</t>
  </si>
  <si>
    <t>FC 37</t>
  </si>
  <si>
    <t>FC 38</t>
  </si>
  <si>
    <t>FC 39</t>
  </si>
  <si>
    <t>206 low int factor</t>
  </si>
  <si>
    <t>5</t>
  </si>
  <si>
    <t>206/238</t>
  </si>
  <si>
    <t>U</t>
  </si>
  <si>
    <t>(ppm)</t>
  </si>
  <si>
    <t>235 lin factor factor</t>
  </si>
  <si>
    <t>0</t>
  </si>
  <si>
    <t>206/207</t>
  </si>
  <si>
    <t>Ratios</t>
  </si>
  <si>
    <t>206Pb</t>
  </si>
  <si>
    <t>204Pb</t>
  </si>
  <si>
    <t>235 low int factor</t>
  </si>
  <si>
    <t>0</t>
  </si>
  <si>
    <t>208/232</t>
  </si>
  <si>
    <t>U/Th</t>
  </si>
  <si>
    <t xml:space="preserve"> </t>
  </si>
  <si>
    <t>6/8-6/7 Concordance (%)</t>
  </si>
  <si>
    <t>95.7</t>
  </si>
  <si>
    <t>206Pb*</t>
  </si>
  <si>
    <t>207Pb*</t>
  </si>
  <si>
    <t>± 2s</t>
  </si>
  <si>
    <t>(%)</t>
  </si>
  <si>
    <t>207Pb*</t>
  </si>
  <si>
    <t>235U</t>
  </si>
  <si>
    <t>± 2s</t>
  </si>
  <si>
    <t>(%)</t>
  </si>
  <si>
    <t>206Pb*</t>
  </si>
  <si>
    <t>238U</t>
  </si>
  <si>
    <t>± 2s</t>
  </si>
  <si>
    <t>(%)</t>
  </si>
  <si>
    <t>error</t>
  </si>
  <si>
    <t>corr.</t>
  </si>
  <si>
    <t>Ages (Ma)</t>
  </si>
  <si>
    <t>206Pb*</t>
  </si>
  <si>
    <t>238U</t>
  </si>
  <si>
    <t>± 2s</t>
  </si>
  <si>
    <t>(Ma)</t>
  </si>
  <si>
    <t>207Pb*</t>
  </si>
  <si>
    <t>235U</t>
  </si>
  <si>
    <t>± 2s</t>
  </si>
  <si>
    <t>(Ma)</t>
  </si>
  <si>
    <t>206Pb*</t>
  </si>
  <si>
    <t>207Pb*</t>
  </si>
  <si>
    <t>± 2s</t>
  </si>
  <si>
    <t>(Ma)</t>
  </si>
  <si>
    <t>Best age</t>
  </si>
  <si>
    <t>(Ma)</t>
  </si>
  <si>
    <t>± 2s</t>
  </si>
  <si>
    <t>(Ma)</t>
  </si>
  <si>
    <t>Conc</t>
  </si>
  <si>
    <t>(%)</t>
  </si>
  <si>
    <t>PLES - 9</t>
  </si>
  <si>
    <t>MR24-12 49</t>
  </si>
  <si>
    <t>MR24-12 48</t>
  </si>
  <si>
    <t>MR24-12 47</t>
  </si>
  <si>
    <t>MR24-12 46</t>
  </si>
  <si>
    <t>MR24-12 45</t>
  </si>
  <si>
    <t>MR24-12 44</t>
  </si>
  <si>
    <t>MR24-12 43</t>
  </si>
  <si>
    <t>MR24-12 42</t>
  </si>
  <si>
    <t>MR24-12 41</t>
  </si>
  <si>
    <t>MR24-12 40</t>
  </si>
  <si>
    <t>MR24-12 39</t>
  </si>
  <si>
    <t>MR24-12 38</t>
  </si>
  <si>
    <t>MR24-12 37</t>
  </si>
  <si>
    <t>FC 21</t>
  </si>
  <si>
    <t>MR24-12 36</t>
  </si>
  <si>
    <t>MR24-12 35</t>
  </si>
  <si>
    <t>MR24-12 34</t>
  </si>
  <si>
    <t>MR24-12 33</t>
  </si>
  <si>
    <t>MR24-12 32</t>
  </si>
  <si>
    <t>MR24-12 31</t>
  </si>
  <si>
    <t>MR24-12 30</t>
  </si>
  <si>
    <t>MR24-12 29</t>
  </si>
  <si>
    <t>MR24-12 28</t>
  </si>
  <si>
    <t>MR24-12 27</t>
  </si>
  <si>
    <t>MR24-12 26</t>
  </si>
  <si>
    <t>MR24-12 25</t>
  </si>
  <si>
    <t>MR24-12 24</t>
  </si>
  <si>
    <t>MR24-12 23</t>
  </si>
  <si>
    <t>MR24-12 22</t>
  </si>
  <si>
    <t>MR24-12 21</t>
  </si>
  <si>
    <t>MR24-12 20</t>
  </si>
  <si>
    <t>MR24-12 19</t>
  </si>
  <si>
    <t>MR24-12 18</t>
  </si>
  <si>
    <t>MR24-12 17</t>
  </si>
  <si>
    <t>MR24-12 16</t>
  </si>
  <si>
    <t>MR24-12 15</t>
  </si>
  <si>
    <t>SLF 10</t>
  </si>
  <si>
    <t>MR24-12 14</t>
  </si>
  <si>
    <t>FC 11</t>
  </si>
  <si>
    <t>MR24-12 13</t>
  </si>
  <si>
    <t>MR24-12 12</t>
  </si>
  <si>
    <t>MR24-12 11</t>
  </si>
  <si>
    <t>MR24-12 10</t>
  </si>
  <si>
    <t>MR24-12 9</t>
  </si>
  <si>
    <t>MR24-12 8</t>
  </si>
  <si>
    <t>MR24-12 7</t>
  </si>
  <si>
    <t>MR24-12 6</t>
  </si>
  <si>
    <t>MR24-12 5</t>
  </si>
  <si>
    <t>MR24-12 4</t>
  </si>
  <si>
    <t>MR24-12 3</t>
  </si>
  <si>
    <t>MR24-12 2</t>
  </si>
  <si>
    <t>MR24-12 1</t>
  </si>
  <si>
    <t>MR24-10 6</t>
  </si>
  <si>
    <t>PLES - 10</t>
  </si>
  <si>
    <t>MR24-10 5</t>
  </si>
  <si>
    <t>MR24-10 4</t>
  </si>
  <si>
    <t>MR24-10 3</t>
  </si>
  <si>
    <t>MR24-10 2</t>
  </si>
  <si>
    <t>FC 3</t>
  </si>
  <si>
    <t>MR24-10 1</t>
  </si>
  <si>
    <t>411.2</t>
  </si>
  <si>
    <t>428.1</t>
  </si>
  <si>
    <t>419.6</t>
  </si>
  <si>
    <t>556.6</t>
  </si>
  <si>
    <t>554.9</t>
  </si>
  <si>
    <t>556.3</t>
  </si>
  <si>
    <t>1121</t>
  </si>
  <si>
    <t>1099.5</t>
  </si>
  <si>
    <t>1103.4</t>
  </si>
  <si>
    <t>50</t>
  </si>
  <si>
    <t>65</t>
  </si>
  <si>
    <t>100.5</t>
  </si>
  <si>
    <t>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</si>
</sst>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" fillId="0" borderId="1"/>
  </cellStyleXfs>
  <cellXfs count="4">
    <xf numFmtId="0" fontId="0" fillId="0" borderId="0" xfId="0"/>
    <xf numFmtId="0" fontId="0" fillId="2" borderId="0" xfId="0" applyFill="1"/>
    <xf numFmtId="0" fontId="1" fillId="0" borderId="1" xfId="1"/>
    <xf numFmtId="0" fontId="1" fillId="2" borderId="1" xfId="1" applyFill="1"/>
  </cellXfs>
  <cellStyles count="2">
    <cellStyle name="Normal" xfId="0" builtinId="0"/>
    <cellStyle name="Normal 2" xfId="1" xr:uid="{003341A3-F060-F041-95CF-EC08577510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_xlchart.v1.12</cx:f>
      </cx:numDim>
    </cx:data>
  </cx:chartData>
  <cx:chart>
    <cx:title pos="t" align="ctr" overlay="0"/>
    <cx:plotArea>
      <cx:plotAreaRegion>
        <cx:series layoutId="clusteredColumn" uniqueId="{B49978C8-3F8A-A543-995B-214B6B72CB10}">
          <cx:dataId val="0"/>
          <cx:layoutPr>
            <cx:binning intervalClosed="r">
              <cx:binSize val="10"/>
            </cx:binning>
          </cx:layoutPr>
        </cx:series>
      </cx:plotAreaRegion>
      <cx:axis id="0">
        <cx:catScaling gapWidth="0"/>
        <cx:majorGridlines/>
        <cx:tickLabels/>
        <cx:numFmt formatCode="#,##0" sourceLinked="0"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184150</xdr:colOff>
      <xdr:row>2</xdr:row>
      <xdr:rowOff>19050</xdr:rowOff>
    </xdr:from>
    <xdr:to>
      <xdr:col>14</xdr:col>
      <xdr:colOff>596900</xdr:colOff>
      <xdr:row>29</xdr:row>
      <xdr:rowOff>88900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22551646-874E-DCA2-EF72-B67EB4AB2A6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86150" y="400050"/>
              <a:ext cx="8667750" cy="52133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D28C075-9ACF-954E-9F93-E1286D6709BC}">
  <we:reference id="a2a4692c-ecd3-4c3d-bc1e-2c407a976176" version="25.0.2.0" store="EXCatalog" storeType="EXCatalog"/>
  <we:alternateReferences>
    <we:reference id="WA200000019" version="25.0.2.0" store="en-US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PSIFORECAST</we:customFunctionIds>
        <we:customFunctionIds>PSIPREDICT</we:customFunctionIds>
        <we:customFunctionIds>PSIPOSTERIORS</we:customFunctionIds>
        <we:customFunctionIds>PSITRANSFORM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166"/>
  <sheetViews>
    <sheetView workbookViewId="0">
      <selection sqref="A1:XFD24"/>
    </sheetView>
  </sheetViews>
  <sheetFormatPr baseColWidth="10" defaultColWidth="8.83203125" defaultRowHeight="15" x14ac:dyDescent="0.2"/>
  <cols>
    <col min="1" max="1" width="39.33203125" customWidth="1"/>
    <col min="2" max="2" width="25.5" customWidth="1"/>
    <col min="3" max="3" width="7.1640625" customWidth="1"/>
    <col min="4" max="4" width="6.6640625" customWidth="1"/>
    <col min="5" max="5" width="7.6640625" customWidth="1"/>
    <col min="6" max="6" width="4.6640625" customWidth="1"/>
    <col min="7" max="7" width="7.6640625" customWidth="1"/>
    <col min="8" max="8" width="4.6640625" customWidth="1"/>
    <col min="9" max="9" width="8.6640625" customWidth="1"/>
    <col min="10" max="10" width="4.6640625" customWidth="1"/>
    <col min="11" max="11" width="5.6640625" customWidth="1"/>
    <col min="12" max="12" width="10" customWidth="1"/>
    <col min="13" max="13" width="5.33203125" customWidth="1"/>
    <col min="14" max="14" width="7.5" customWidth="1"/>
    <col min="15" max="15" width="5.6640625" customWidth="1"/>
    <col min="16" max="16" width="7.5" customWidth="1"/>
    <col min="17" max="17" width="6.6640625" customWidth="1"/>
    <col min="18" max="18" width="8.5" customWidth="1"/>
    <col min="19" max="19" width="5.33203125" customWidth="1"/>
    <col min="20" max="20" width="5.6640625" customWidth="1"/>
    <col min="21" max="22" width="9.1640625"/>
    <col min="23" max="23" width="28.6640625" customWidth="1"/>
    <col min="24" max="24" width="26.33203125" customWidth="1"/>
    <col min="25" max="26" width="22.5" customWidth="1"/>
    <col min="27" max="27" width="17.5" customWidth="1"/>
    <col min="28" max="28" width="20" customWidth="1"/>
    <col min="29" max="29" width="18.5" customWidth="1"/>
    <col min="30" max="30" width="13.33203125" customWidth="1"/>
    <col min="31" max="31" width="17" customWidth="1"/>
    <col min="32" max="33" width="22.6640625" customWidth="1"/>
    <col min="34" max="34" width="17.83203125" customWidth="1"/>
    <col min="35" max="35" width="13" customWidth="1"/>
    <col min="36" max="36" width="16.1640625" customWidth="1"/>
    <col min="37" max="37" width="17.5" customWidth="1"/>
    <col min="38" max="38" width="17.83203125" customWidth="1"/>
    <col min="39" max="39" width="17.33203125" customWidth="1"/>
    <col min="40" max="40" width="15.5" customWidth="1"/>
    <col min="41" max="41" width="12.5" customWidth="1"/>
    <col min="42" max="42" width="16.1640625" customWidth="1"/>
    <col min="43" max="43" width="15.5" customWidth="1"/>
    <col min="44" max="44" width="13.5" customWidth="1"/>
    <col min="45" max="45" width="21.1640625" customWidth="1"/>
    <col min="46" max="46" width="16.33203125" customWidth="1"/>
    <col min="47" max="47" width="18" customWidth="1"/>
    <col min="48" max="48" width="16.33203125" customWidth="1"/>
    <col min="49" max="49" width="22.83203125" customWidth="1"/>
    <col min="50" max="50" width="4.6640625" customWidth="1"/>
    <col min="51" max="51" width="7.6640625" customWidth="1"/>
    <col min="52" max="52" width="4.6640625" customWidth="1"/>
    <col min="53" max="53" width="8.6640625" customWidth="1"/>
    <col min="54" max="54" width="4.5" customWidth="1"/>
    <col min="55" max="55" width="5.6640625" customWidth="1"/>
    <col min="56" max="56" width="10" customWidth="1"/>
    <col min="57" max="57" width="5.33203125" customWidth="1"/>
    <col min="58" max="58" width="7.5" customWidth="1"/>
    <col min="59" max="59" width="5.6640625" customWidth="1"/>
    <col min="60" max="60" width="7.5" customWidth="1"/>
    <col min="61" max="61" width="5.6640625" customWidth="1"/>
    <col min="62" max="62" width="8.5" customWidth="1"/>
    <col min="63" max="63" width="5.33203125" customWidth="1"/>
    <col min="64" max="64" width="5.6640625" customWidth="1"/>
  </cols>
  <sheetData>
    <row r="1" spans="1:49" x14ac:dyDescent="0.2">
      <c r="A1" t="s">
        <v>0</v>
      </c>
      <c r="W1" t="s">
        <v>207</v>
      </c>
      <c r="X1" t="s">
        <v>226</v>
      </c>
      <c r="Y1" t="s">
        <v>231</v>
      </c>
      <c r="Z1" t="s">
        <v>237</v>
      </c>
      <c r="AA1" t="s">
        <v>243</v>
      </c>
      <c r="AB1" t="s">
        <v>249</v>
      </c>
      <c r="AC1" t="s">
        <v>255</v>
      </c>
      <c r="AD1" t="s">
        <v>261</v>
      </c>
      <c r="AE1" t="s">
        <v>267</v>
      </c>
      <c r="AF1" t="s">
        <v>272</v>
      </c>
      <c r="AG1" t="s">
        <v>277</v>
      </c>
      <c r="AH1" t="s">
        <v>282</v>
      </c>
      <c r="AI1" t="s">
        <v>292</v>
      </c>
      <c r="AJ1" t="s">
        <v>302</v>
      </c>
      <c r="AK1" t="s">
        <v>309</v>
      </c>
      <c r="AL1" t="s">
        <v>314</v>
      </c>
      <c r="AM1" t="s">
        <v>322</v>
      </c>
      <c r="AN1" t="s">
        <v>328</v>
      </c>
      <c r="AO1" t="s">
        <v>334</v>
      </c>
      <c r="AP1" t="s">
        <v>342</v>
      </c>
      <c r="AQ1" t="s">
        <v>347</v>
      </c>
      <c r="AR1" t="s">
        <v>350</v>
      </c>
      <c r="AS1" t="s">
        <v>352</v>
      </c>
      <c r="AT1" t="s">
        <v>431</v>
      </c>
      <c r="AU1" t="s">
        <v>436</v>
      </c>
      <c r="AV1" t="s">
        <v>442</v>
      </c>
      <c r="AW1" t="s">
        <v>447</v>
      </c>
    </row>
    <row r="2" spans="1:49" x14ac:dyDescent="0.2">
      <c r="A2" t="s">
        <v>1</v>
      </c>
      <c r="W2" t="s">
        <v>208</v>
      </c>
      <c r="X2" t="s">
        <v>227</v>
      </c>
      <c r="Y2" t="s">
        <v>232</v>
      </c>
      <c r="Z2" t="s">
        <v>238</v>
      </c>
      <c r="AA2" t="s">
        <v>244</v>
      </c>
      <c r="AB2" t="s">
        <v>250</v>
      </c>
      <c r="AC2" t="s">
        <v>256</v>
      </c>
      <c r="AD2" t="s">
        <v>262</v>
      </c>
      <c r="AE2" t="s">
        <v>268</v>
      </c>
      <c r="AF2" t="s">
        <v>273</v>
      </c>
      <c r="AG2" t="s">
        <v>278</v>
      </c>
      <c r="AH2" t="s">
        <v>283</v>
      </c>
      <c r="AI2" t="s">
        <v>293</v>
      </c>
      <c r="AJ2" t="s">
        <v>303</v>
      </c>
      <c r="AO2" t="s">
        <v>335</v>
      </c>
      <c r="AP2" t="s">
        <v>343</v>
      </c>
      <c r="AQ2" t="s">
        <v>348</v>
      </c>
      <c r="AR2" t="s">
        <v>351</v>
      </c>
      <c r="AS2" t="s">
        <v>353</v>
      </c>
      <c r="AT2" t="s">
        <v>432</v>
      </c>
      <c r="AU2" t="s">
        <v>437</v>
      </c>
      <c r="AV2" t="s">
        <v>443</v>
      </c>
      <c r="AW2" t="s">
        <v>448</v>
      </c>
    </row>
    <row r="3" spans="1:49" x14ac:dyDescent="0.2">
      <c r="A3" t="s">
        <v>2</v>
      </c>
      <c r="W3" t="s">
        <v>209</v>
      </c>
      <c r="Z3" t="s">
        <v>239</v>
      </c>
      <c r="AA3" t="s">
        <v>245</v>
      </c>
      <c r="AD3" t="s">
        <v>263</v>
      </c>
      <c r="AE3" t="s">
        <v>269</v>
      </c>
      <c r="AH3" t="s">
        <v>284</v>
      </c>
      <c r="AI3" t="s">
        <v>294</v>
      </c>
      <c r="AJ3" t="s">
        <v>304</v>
      </c>
      <c r="AK3" t="s">
        <v>310</v>
      </c>
      <c r="AL3" t="s">
        <v>315</v>
      </c>
      <c r="AM3" t="s">
        <v>323</v>
      </c>
      <c r="AN3" t="s">
        <v>329</v>
      </c>
    </row>
    <row r="4" spans="1:49" x14ac:dyDescent="0.2">
      <c r="A4" t="s">
        <v>3</v>
      </c>
      <c r="W4" t="s">
        <v>210</v>
      </c>
      <c r="AB4" t="s">
        <v>251</v>
      </c>
      <c r="AC4" t="s">
        <v>257</v>
      </c>
      <c r="AD4" t="s">
        <v>264</v>
      </c>
      <c r="AE4" t="s">
        <v>269</v>
      </c>
      <c r="AF4" t="s">
        <v>274</v>
      </c>
      <c r="AG4" t="s">
        <v>279</v>
      </c>
      <c r="AH4" t="s">
        <v>285</v>
      </c>
      <c r="AI4" t="s">
        <v>295</v>
      </c>
      <c r="AJ4" t="s">
        <v>305</v>
      </c>
      <c r="AK4" t="s">
        <v>310</v>
      </c>
      <c r="AL4" t="s">
        <v>315</v>
      </c>
      <c r="AM4" t="s">
        <v>324</v>
      </c>
      <c r="AN4" t="s">
        <v>330</v>
      </c>
    </row>
    <row r="5" spans="1:49" x14ac:dyDescent="0.2">
      <c r="A5" t="s">
        <v>4</v>
      </c>
      <c r="B5" t="s">
        <v>160</v>
      </c>
    </row>
    <row r="6" spans="1:49" x14ac:dyDescent="0.2">
      <c r="A6" t="s">
        <v>5</v>
      </c>
      <c r="B6" t="s">
        <v>161</v>
      </c>
    </row>
    <row r="7" spans="1:49" x14ac:dyDescent="0.2">
      <c r="A7" t="s">
        <v>6</v>
      </c>
      <c r="X7" t="s">
        <v>228</v>
      </c>
      <c r="Y7" t="s">
        <v>233</v>
      </c>
      <c r="Z7" t="s">
        <v>240</v>
      </c>
      <c r="AA7" t="s">
        <v>246</v>
      </c>
      <c r="AB7" t="s">
        <v>252</v>
      </c>
      <c r="AC7" t="s">
        <v>258</v>
      </c>
      <c r="AI7" t="s">
        <v>296</v>
      </c>
      <c r="AJ7" t="s">
        <v>306</v>
      </c>
      <c r="AK7" t="s">
        <v>311</v>
      </c>
      <c r="AL7" t="s">
        <v>316</v>
      </c>
      <c r="AM7" t="s">
        <v>325</v>
      </c>
      <c r="AN7" t="s">
        <v>331</v>
      </c>
      <c r="AO7" t="s">
        <v>336</v>
      </c>
      <c r="AP7" t="s">
        <v>344</v>
      </c>
      <c r="AQ7" t="s">
        <v>349</v>
      </c>
      <c r="AT7" t="s">
        <v>433</v>
      </c>
      <c r="AU7" t="s">
        <v>438</v>
      </c>
      <c r="AV7" t="s">
        <v>444</v>
      </c>
    </row>
    <row r="8" spans="1:49" x14ac:dyDescent="0.2">
      <c r="A8" t="s">
        <v>7</v>
      </c>
      <c r="W8" t="s">
        <v>211</v>
      </c>
      <c r="X8">
        <v>0.8</v>
      </c>
      <c r="Y8">
        <v>0.28000000000000003</v>
      </c>
      <c r="Z8">
        <v>0.2</v>
      </c>
      <c r="AA8">
        <v>0</v>
      </c>
      <c r="AB8">
        <v>0.2</v>
      </c>
      <c r="AC8">
        <v>5.2999999999999999E-2</v>
      </c>
      <c r="AH8" t="s">
        <v>286</v>
      </c>
      <c r="AI8" t="s">
        <v>297</v>
      </c>
      <c r="AJ8">
        <v>5.3</v>
      </c>
      <c r="AK8">
        <v>0.4</v>
      </c>
      <c r="AL8" t="s">
        <v>317</v>
      </c>
      <c r="AM8">
        <v>7.8</v>
      </c>
      <c r="AN8">
        <v>0.3</v>
      </c>
      <c r="AO8" t="s">
        <v>337</v>
      </c>
      <c r="AP8">
        <v>11.5</v>
      </c>
      <c r="AQ8">
        <v>0.7</v>
      </c>
      <c r="AS8" t="s">
        <v>354</v>
      </c>
      <c r="AT8">
        <v>0.6</v>
      </c>
      <c r="AU8">
        <v>1.5</v>
      </c>
      <c r="AV8">
        <v>0.6</v>
      </c>
    </row>
    <row r="9" spans="1:49" x14ac:dyDescent="0.2">
      <c r="A9" t="s">
        <v>8</v>
      </c>
      <c r="B9" t="s">
        <v>162</v>
      </c>
      <c r="W9" t="s">
        <v>212</v>
      </c>
      <c r="X9">
        <v>0.71</v>
      </c>
      <c r="Y9">
        <v>0.2</v>
      </c>
      <c r="Z9">
        <v>0.2</v>
      </c>
      <c r="AA9">
        <v>1.2E-2</v>
      </c>
      <c r="AB9">
        <v>0.2</v>
      </c>
      <c r="AC9">
        <v>0.09</v>
      </c>
      <c r="AH9" t="s">
        <v>287</v>
      </c>
      <c r="AI9" t="s">
        <v>298</v>
      </c>
      <c r="AJ9">
        <v>2.4</v>
      </c>
      <c r="AK9">
        <v>0.2</v>
      </c>
      <c r="AL9" t="s">
        <v>318</v>
      </c>
      <c r="AM9">
        <v>8.4</v>
      </c>
      <c r="AN9">
        <v>0.6</v>
      </c>
      <c r="AO9" t="s">
        <v>338</v>
      </c>
      <c r="AP9">
        <v>7.5</v>
      </c>
      <c r="AQ9">
        <v>0.5</v>
      </c>
    </row>
    <row r="10" spans="1:49" x14ac:dyDescent="0.2">
      <c r="A10" t="s">
        <v>9</v>
      </c>
      <c r="B10">
        <v>0.8</v>
      </c>
      <c r="W10" t="s">
        <v>213</v>
      </c>
      <c r="X10">
        <v>3.91</v>
      </c>
      <c r="Y10">
        <v>1.82</v>
      </c>
      <c r="Z10">
        <v>0.5</v>
      </c>
      <c r="AA10">
        <v>7.5999999999999998E-2</v>
      </c>
      <c r="AB10">
        <v>0.5</v>
      </c>
      <c r="AC10">
        <v>0.5</v>
      </c>
      <c r="AH10" t="s">
        <v>288</v>
      </c>
      <c r="AI10" t="s">
        <v>299</v>
      </c>
      <c r="AJ10">
        <v>4.3</v>
      </c>
      <c r="AK10">
        <v>2.7</v>
      </c>
      <c r="AL10" t="s">
        <v>319</v>
      </c>
      <c r="AM10">
        <v>21.6</v>
      </c>
      <c r="AN10">
        <v>0.6</v>
      </c>
      <c r="AO10" t="s">
        <v>339</v>
      </c>
      <c r="AP10">
        <v>9.8000000000000007</v>
      </c>
      <c r="AQ10">
        <v>1.5</v>
      </c>
    </row>
    <row r="11" spans="1:49" x14ac:dyDescent="0.2">
      <c r="A11" t="s">
        <v>10</v>
      </c>
      <c r="B11">
        <v>0.71</v>
      </c>
    </row>
    <row r="12" spans="1:49" x14ac:dyDescent="0.2">
      <c r="A12" t="s">
        <v>11</v>
      </c>
      <c r="B12">
        <v>3.91</v>
      </c>
    </row>
    <row r="13" spans="1:49" x14ac:dyDescent="0.2">
      <c r="A13" t="s">
        <v>12</v>
      </c>
    </row>
    <row r="14" spans="1:49" x14ac:dyDescent="0.2">
      <c r="A14" t="s">
        <v>13</v>
      </c>
      <c r="B14" t="s">
        <v>163</v>
      </c>
    </row>
    <row r="15" spans="1:49" x14ac:dyDescent="0.2">
      <c r="A15" t="s">
        <v>14</v>
      </c>
    </row>
    <row r="16" spans="1:49" x14ac:dyDescent="0.2">
      <c r="A16" t="s">
        <v>15</v>
      </c>
    </row>
    <row r="17" spans="1:64" x14ac:dyDescent="0.2">
      <c r="A17" t="s">
        <v>16</v>
      </c>
      <c r="B17" t="s">
        <v>164</v>
      </c>
    </row>
    <row r="18" spans="1:64" x14ac:dyDescent="0.2">
      <c r="A18" t="s">
        <v>17</v>
      </c>
      <c r="B18" t="s">
        <v>165</v>
      </c>
    </row>
    <row r="19" spans="1:64" x14ac:dyDescent="0.2">
      <c r="B19" t="s">
        <v>166</v>
      </c>
    </row>
    <row r="21" spans="1:64" x14ac:dyDescent="0.2">
      <c r="A21" t="s">
        <v>18</v>
      </c>
      <c r="C21" t="s">
        <v>169</v>
      </c>
      <c r="L21" t="s">
        <v>188</v>
      </c>
      <c r="W21" t="s">
        <v>214</v>
      </c>
      <c r="Y21" t="s">
        <v>234</v>
      </c>
      <c r="AH21" t="s">
        <v>289</v>
      </c>
      <c r="AS21" t="s">
        <v>355</v>
      </c>
      <c r="AU21" t="s">
        <v>439</v>
      </c>
      <c r="BD21" t="s">
        <v>463</v>
      </c>
    </row>
    <row r="23" spans="1:64" x14ac:dyDescent="0.2">
      <c r="A23" t="s">
        <v>19</v>
      </c>
      <c r="B23" t="s">
        <v>167</v>
      </c>
      <c r="C23" t="s">
        <v>170</v>
      </c>
      <c r="D23" t="s">
        <v>172</v>
      </c>
      <c r="E23" t="s">
        <v>174</v>
      </c>
      <c r="F23" t="s">
        <v>176</v>
      </c>
      <c r="G23" t="s">
        <v>178</v>
      </c>
      <c r="H23" t="s">
        <v>180</v>
      </c>
      <c r="I23" t="s">
        <v>182</v>
      </c>
      <c r="J23" t="s">
        <v>184</v>
      </c>
      <c r="K23" t="s">
        <v>186</v>
      </c>
      <c r="L23" t="s">
        <v>189</v>
      </c>
      <c r="M23" t="s">
        <v>191</v>
      </c>
      <c r="N23" t="s">
        <v>193</v>
      </c>
      <c r="O23" t="s">
        <v>195</v>
      </c>
      <c r="P23" t="s">
        <v>197</v>
      </c>
      <c r="Q23" t="s">
        <v>199</v>
      </c>
      <c r="R23" t="s">
        <v>201</v>
      </c>
      <c r="S23" t="s">
        <v>203</v>
      </c>
      <c r="T23" t="s">
        <v>205</v>
      </c>
      <c r="W23" t="s">
        <v>215</v>
      </c>
      <c r="X23" t="s">
        <v>229</v>
      </c>
      <c r="Y23" t="s">
        <v>235</v>
      </c>
      <c r="Z23" t="s">
        <v>241</v>
      </c>
      <c r="AA23" t="s">
        <v>247</v>
      </c>
      <c r="AB23" t="s">
        <v>253</v>
      </c>
      <c r="AC23" t="s">
        <v>259</v>
      </c>
      <c r="AD23" t="s">
        <v>265</v>
      </c>
      <c r="AE23" t="s">
        <v>270</v>
      </c>
      <c r="AF23" t="s">
        <v>275</v>
      </c>
      <c r="AG23" t="s">
        <v>280</v>
      </c>
      <c r="AH23" t="s">
        <v>290</v>
      </c>
      <c r="AI23" t="s">
        <v>300</v>
      </c>
      <c r="AJ23" t="s">
        <v>307</v>
      </c>
      <c r="AK23" t="s">
        <v>312</v>
      </c>
      <c r="AL23" t="s">
        <v>320</v>
      </c>
      <c r="AM23" t="s">
        <v>326</v>
      </c>
      <c r="AN23" t="s">
        <v>332</v>
      </c>
      <c r="AO23" t="s">
        <v>340</v>
      </c>
      <c r="AP23" t="s">
        <v>345</v>
      </c>
      <c r="AS23" t="s">
        <v>356</v>
      </c>
      <c r="AT23" t="s">
        <v>434</v>
      </c>
      <c r="AU23" t="s">
        <v>440</v>
      </c>
      <c r="AV23" t="s">
        <v>445</v>
      </c>
      <c r="AW23" t="s">
        <v>449</v>
      </c>
      <c r="AX23" t="s">
        <v>451</v>
      </c>
      <c r="AY23" t="s">
        <v>453</v>
      </c>
      <c r="AZ23" t="s">
        <v>455</v>
      </c>
      <c r="BA23" t="s">
        <v>457</v>
      </c>
      <c r="BB23" t="s">
        <v>459</v>
      </c>
      <c r="BC23" t="s">
        <v>461</v>
      </c>
      <c r="BD23" t="s">
        <v>464</v>
      </c>
      <c r="BE23" t="s">
        <v>466</v>
      </c>
      <c r="BF23" t="s">
        <v>468</v>
      </c>
      <c r="BG23" t="s">
        <v>470</v>
      </c>
      <c r="BH23" t="s">
        <v>472</v>
      </c>
      <c r="BI23" t="s">
        <v>474</v>
      </c>
      <c r="BJ23" t="s">
        <v>476</v>
      </c>
      <c r="BK23" t="s">
        <v>478</v>
      </c>
      <c r="BL23" t="s">
        <v>480</v>
      </c>
    </row>
    <row r="24" spans="1:64" x14ac:dyDescent="0.2">
      <c r="B24" t="s">
        <v>168</v>
      </c>
      <c r="C24" t="s">
        <v>171</v>
      </c>
      <c r="D24" t="s">
        <v>173</v>
      </c>
      <c r="E24" t="s">
        <v>175</v>
      </c>
      <c r="F24" t="s">
        <v>177</v>
      </c>
      <c r="G24" t="s">
        <v>179</v>
      </c>
      <c r="H24" t="s">
        <v>181</v>
      </c>
      <c r="I24" t="s">
        <v>183</v>
      </c>
      <c r="J24" t="s">
        <v>185</v>
      </c>
      <c r="K24" t="s">
        <v>187</v>
      </c>
      <c r="L24" t="s">
        <v>190</v>
      </c>
      <c r="M24" t="s">
        <v>192</v>
      </c>
      <c r="N24" t="s">
        <v>194</v>
      </c>
      <c r="O24" t="s">
        <v>196</v>
      </c>
      <c r="P24" t="s">
        <v>198</v>
      </c>
      <c r="Q24" t="s">
        <v>200</v>
      </c>
      <c r="R24" t="s">
        <v>202</v>
      </c>
      <c r="S24" t="s">
        <v>204</v>
      </c>
      <c r="T24" t="s">
        <v>206</v>
      </c>
      <c r="X24" t="s">
        <v>230</v>
      </c>
      <c r="Y24" t="s">
        <v>236</v>
      </c>
      <c r="Z24" t="s">
        <v>242</v>
      </c>
      <c r="AA24" t="s">
        <v>248</v>
      </c>
      <c r="AB24" t="s">
        <v>254</v>
      </c>
      <c r="AC24" t="s">
        <v>260</v>
      </c>
      <c r="AD24" t="s">
        <v>266</v>
      </c>
      <c r="AE24" t="s">
        <v>271</v>
      </c>
      <c r="AF24" t="s">
        <v>276</v>
      </c>
      <c r="AG24" t="s">
        <v>281</v>
      </c>
      <c r="AH24" t="s">
        <v>291</v>
      </c>
      <c r="AI24" t="s">
        <v>301</v>
      </c>
      <c r="AJ24" t="s">
        <v>308</v>
      </c>
      <c r="AK24" t="s">
        <v>313</v>
      </c>
      <c r="AL24" t="s">
        <v>321</v>
      </c>
      <c r="AM24" t="s">
        <v>327</v>
      </c>
      <c r="AN24" t="s">
        <v>333</v>
      </c>
      <c r="AO24" t="s">
        <v>341</v>
      </c>
      <c r="AP24" t="s">
        <v>346</v>
      </c>
      <c r="AT24" t="s">
        <v>435</v>
      </c>
      <c r="AU24" t="s">
        <v>441</v>
      </c>
      <c r="AV24" t="s">
        <v>446</v>
      </c>
      <c r="AW24" t="s">
        <v>450</v>
      </c>
      <c r="AX24" t="s">
        <v>452</v>
      </c>
      <c r="AY24" t="s">
        <v>454</v>
      </c>
      <c r="AZ24" t="s">
        <v>456</v>
      </c>
      <c r="BA24" t="s">
        <v>458</v>
      </c>
      <c r="BB24" t="s">
        <v>460</v>
      </c>
      <c r="BC24" t="s">
        <v>462</v>
      </c>
      <c r="BD24" t="s">
        <v>465</v>
      </c>
      <c r="BE24" t="s">
        <v>467</v>
      </c>
      <c r="BF24" t="s">
        <v>469</v>
      </c>
      <c r="BG24" t="s">
        <v>471</v>
      </c>
      <c r="BH24" t="s">
        <v>473</v>
      </c>
      <c r="BI24" t="s">
        <v>475</v>
      </c>
      <c r="BJ24" t="s">
        <v>477</v>
      </c>
      <c r="BK24" t="s">
        <v>479</v>
      </c>
      <c r="BL24" t="s">
        <v>481</v>
      </c>
    </row>
    <row r="27" spans="1:64" s="1" customFormat="1" x14ac:dyDescent="0.2">
      <c r="A27" s="1" t="s">
        <v>20</v>
      </c>
      <c r="B27" s="1">
        <v>1680</v>
      </c>
      <c r="C27" s="1">
        <v>28457</v>
      </c>
      <c r="D27" s="1">
        <v>161.22</v>
      </c>
      <c r="E27" s="1">
        <v>19.1936</v>
      </c>
      <c r="F27" s="1">
        <v>3.3</v>
      </c>
      <c r="G27" s="1">
        <v>0.32950000000000002</v>
      </c>
      <c r="H27" s="1">
        <v>4.5</v>
      </c>
      <c r="I27" s="1">
        <v>4.5888999999999999E-2</v>
      </c>
      <c r="J27" s="1">
        <v>3</v>
      </c>
      <c r="K27" s="1">
        <v>0.66800000000000004</v>
      </c>
      <c r="L27" s="1">
        <v>289.2</v>
      </c>
      <c r="M27" s="1">
        <v>8.5</v>
      </c>
      <c r="N27" s="1">
        <v>289.2</v>
      </c>
      <c r="O27" s="1">
        <v>11.3</v>
      </c>
      <c r="P27" s="1">
        <v>288.8</v>
      </c>
      <c r="Q27" s="1">
        <v>76.3</v>
      </c>
      <c r="R27" s="1">
        <v>289.2</v>
      </c>
      <c r="S27" s="1">
        <v>8.5</v>
      </c>
      <c r="T27" s="1">
        <v>100.1</v>
      </c>
      <c r="W27" s="1" t="s">
        <v>216</v>
      </c>
      <c r="X27" s="1">
        <v>430</v>
      </c>
      <c r="Y27" s="1">
        <v>10889</v>
      </c>
      <c r="Z27" s="1">
        <v>3.26</v>
      </c>
      <c r="AA27" s="1">
        <v>8.6033000000000008</v>
      </c>
      <c r="AB27" s="1">
        <v>2.1</v>
      </c>
      <c r="AC27" s="1">
        <v>3.14744</v>
      </c>
      <c r="AD27" s="1">
        <v>3.7</v>
      </c>
      <c r="AE27" s="1">
        <v>0.19647999999999999</v>
      </c>
      <c r="AF27" s="1">
        <v>3.1</v>
      </c>
      <c r="AG27" s="1">
        <v>0.82</v>
      </c>
      <c r="AH27" s="1">
        <v>1156.4000000000001</v>
      </c>
      <c r="AI27" s="1">
        <v>32.299999999999997</v>
      </c>
      <c r="AJ27" s="1">
        <v>1444.4</v>
      </c>
      <c r="AK27" s="1">
        <v>28.7</v>
      </c>
      <c r="AL27" s="1">
        <v>1898.3</v>
      </c>
      <c r="AM27" s="1">
        <v>38.200000000000003</v>
      </c>
      <c r="AN27" s="1">
        <v>1898.3</v>
      </c>
      <c r="AO27" s="1">
        <v>38.200000000000003</v>
      </c>
      <c r="AP27" s="1">
        <v>60.9</v>
      </c>
      <c r="AS27" s="1" t="s">
        <v>357</v>
      </c>
      <c r="AT27" s="1">
        <v>216</v>
      </c>
      <c r="AU27" s="1">
        <v>67833</v>
      </c>
      <c r="AV27" s="1">
        <v>1.79</v>
      </c>
      <c r="AW27" s="1">
        <v>13.1014</v>
      </c>
      <c r="AX27" s="1">
        <v>2.5</v>
      </c>
      <c r="AY27" s="1">
        <v>1.9527300000000001</v>
      </c>
      <c r="AZ27" s="1">
        <v>5.5</v>
      </c>
      <c r="BA27" s="1">
        <v>0.18563299999999999</v>
      </c>
      <c r="BB27" s="1">
        <v>4.9000000000000004</v>
      </c>
      <c r="BC27" s="1">
        <v>0.88600000000000001</v>
      </c>
      <c r="BD27" s="1">
        <v>1097.7</v>
      </c>
      <c r="BE27" s="1">
        <v>49.2</v>
      </c>
      <c r="BF27" s="1">
        <v>1099.4000000000001</v>
      </c>
      <c r="BG27" s="1">
        <v>36.9</v>
      </c>
      <c r="BH27" s="1">
        <v>1102.8</v>
      </c>
      <c r="BI27" s="1">
        <v>51</v>
      </c>
      <c r="BJ27" s="1">
        <v>1102.8</v>
      </c>
      <c r="BK27" s="1">
        <v>51</v>
      </c>
      <c r="BL27" s="1">
        <v>99.5</v>
      </c>
    </row>
    <row r="28" spans="1:64" s="1" customFormat="1" x14ac:dyDescent="0.2">
      <c r="A28" s="1" t="s">
        <v>21</v>
      </c>
      <c r="B28" s="1">
        <v>1077</v>
      </c>
      <c r="C28" s="1">
        <v>25438</v>
      </c>
      <c r="D28" s="1">
        <v>48.99</v>
      </c>
      <c r="E28" s="1">
        <v>19.2729</v>
      </c>
      <c r="F28" s="1">
        <v>3.3</v>
      </c>
      <c r="G28" s="1">
        <v>0.32338</v>
      </c>
      <c r="H28" s="1">
        <v>4</v>
      </c>
      <c r="I28" s="1">
        <v>4.5222999999999999E-2</v>
      </c>
      <c r="J28" s="1">
        <v>2.4</v>
      </c>
      <c r="K28" s="1">
        <v>0.58699999999999997</v>
      </c>
      <c r="L28" s="1">
        <v>285.10000000000002</v>
      </c>
      <c r="M28" s="1">
        <v>6.6</v>
      </c>
      <c r="N28" s="1">
        <v>284.5</v>
      </c>
      <c r="O28" s="1">
        <v>10</v>
      </c>
      <c r="P28" s="1">
        <v>279.39999999999998</v>
      </c>
      <c r="Q28" s="1">
        <v>74.400000000000006</v>
      </c>
      <c r="R28" s="1">
        <v>285.10000000000002</v>
      </c>
      <c r="S28" s="1">
        <v>6.6</v>
      </c>
      <c r="T28" s="1">
        <v>102</v>
      </c>
      <c r="W28" s="1" t="s">
        <v>217</v>
      </c>
      <c r="X28" s="1">
        <v>530</v>
      </c>
      <c r="Y28" s="1">
        <v>301239</v>
      </c>
      <c r="Z28" s="1">
        <v>7.55</v>
      </c>
      <c r="AA28" s="1">
        <v>8.5235000000000003</v>
      </c>
      <c r="AB28" s="1">
        <v>1.4</v>
      </c>
      <c r="AC28" s="1">
        <v>3.3572500000000001</v>
      </c>
      <c r="AD28" s="1">
        <v>7.1</v>
      </c>
      <c r="AE28" s="1">
        <v>0.20763200000000001</v>
      </c>
      <c r="AF28" s="1">
        <v>6.9</v>
      </c>
      <c r="AG28" s="1">
        <v>0.98</v>
      </c>
      <c r="AH28" s="1">
        <v>1216.2</v>
      </c>
      <c r="AI28" s="1">
        <v>77</v>
      </c>
      <c r="AJ28" s="1">
        <v>1494.5</v>
      </c>
      <c r="AK28" s="1">
        <v>55.5</v>
      </c>
      <c r="AL28" s="1">
        <v>1915</v>
      </c>
      <c r="AM28" s="1">
        <v>25.3</v>
      </c>
      <c r="AN28" s="1">
        <v>1915</v>
      </c>
      <c r="AO28" s="1">
        <v>25.3</v>
      </c>
      <c r="AP28" s="1">
        <v>63.5</v>
      </c>
      <c r="AS28" s="1" t="s">
        <v>358</v>
      </c>
      <c r="AT28" s="1">
        <v>271</v>
      </c>
      <c r="AU28" s="1">
        <v>18316</v>
      </c>
      <c r="AV28" s="1">
        <v>1.8</v>
      </c>
      <c r="AW28" s="1">
        <v>13.2317</v>
      </c>
      <c r="AX28" s="1">
        <v>2.9</v>
      </c>
      <c r="AY28" s="1">
        <v>1.9268400000000001</v>
      </c>
      <c r="AZ28" s="1">
        <v>4</v>
      </c>
      <c r="BA28" s="1">
        <v>0.18499199999999999</v>
      </c>
      <c r="BB28" s="1">
        <v>2.7</v>
      </c>
      <c r="BC28" s="1">
        <v>0.67900000000000005</v>
      </c>
      <c r="BD28" s="1">
        <v>1094.2</v>
      </c>
      <c r="BE28" s="1">
        <v>27.1</v>
      </c>
      <c r="BF28" s="1">
        <v>1090.4000000000001</v>
      </c>
      <c r="BG28" s="1">
        <v>26.5</v>
      </c>
      <c r="BH28" s="1">
        <v>1083</v>
      </c>
      <c r="BI28" s="1">
        <v>58.3</v>
      </c>
      <c r="BJ28" s="1">
        <v>1083</v>
      </c>
      <c r="BK28" s="1">
        <v>58.3</v>
      </c>
      <c r="BL28" s="1">
        <v>101</v>
      </c>
    </row>
    <row r="29" spans="1:64" s="1" customFormat="1" x14ac:dyDescent="0.2">
      <c r="A29" s="1" t="s">
        <v>22</v>
      </c>
      <c r="B29" s="1">
        <v>117</v>
      </c>
      <c r="C29" s="1">
        <v>9629</v>
      </c>
      <c r="D29" s="1">
        <v>1.54</v>
      </c>
      <c r="E29" s="1">
        <v>17.132100000000001</v>
      </c>
      <c r="F29" s="1">
        <v>6.5</v>
      </c>
      <c r="G29" s="1">
        <v>0.77344999999999997</v>
      </c>
      <c r="H29" s="1">
        <v>8.6999999999999993</v>
      </c>
      <c r="I29" s="1">
        <v>9.6147999999999997E-2</v>
      </c>
      <c r="J29" s="1">
        <v>5.7</v>
      </c>
      <c r="K29" s="1">
        <v>0.65800000000000003</v>
      </c>
      <c r="L29" s="1">
        <v>591.79999999999995</v>
      </c>
      <c r="M29" s="1">
        <v>32.200000000000003</v>
      </c>
      <c r="N29" s="1">
        <v>581.70000000000005</v>
      </c>
      <c r="O29" s="1">
        <v>38.4</v>
      </c>
      <c r="P29" s="1">
        <v>542.70000000000005</v>
      </c>
      <c r="Q29" s="1">
        <v>142.69999999999999</v>
      </c>
      <c r="R29" s="1">
        <v>591.79999999999995</v>
      </c>
      <c r="S29" s="1">
        <v>32.200000000000003</v>
      </c>
      <c r="T29" s="1">
        <v>109</v>
      </c>
      <c r="W29" s="1" t="s">
        <v>218</v>
      </c>
      <c r="X29" s="1">
        <v>66</v>
      </c>
      <c r="Y29" s="1">
        <v>5278</v>
      </c>
      <c r="Z29" s="1">
        <v>2.14</v>
      </c>
      <c r="AA29" s="1">
        <v>16.7897</v>
      </c>
      <c r="AB29" s="1">
        <v>8.1999999999999993</v>
      </c>
      <c r="AC29" s="1">
        <v>0.69989999999999997</v>
      </c>
      <c r="AD29" s="1">
        <v>10.7</v>
      </c>
      <c r="AE29" s="1">
        <v>8.5264999999999994E-2</v>
      </c>
      <c r="AF29" s="1">
        <v>6.9</v>
      </c>
      <c r="AG29" s="1">
        <v>0.64300000000000002</v>
      </c>
      <c r="AH29" s="1">
        <v>527.5</v>
      </c>
      <c r="AI29" s="1">
        <v>34.700000000000003</v>
      </c>
      <c r="AJ29" s="1">
        <v>538.70000000000005</v>
      </c>
      <c r="AK29" s="1">
        <v>44.6</v>
      </c>
      <c r="AL29" s="1">
        <v>586.70000000000005</v>
      </c>
      <c r="AM29" s="1">
        <v>177.2</v>
      </c>
      <c r="AN29" s="1">
        <v>527.5</v>
      </c>
      <c r="AO29" s="1">
        <v>34.700000000000003</v>
      </c>
      <c r="AP29" s="1">
        <v>89.9</v>
      </c>
      <c r="AS29" s="1" t="s">
        <v>359</v>
      </c>
      <c r="AT29" s="1">
        <v>261</v>
      </c>
      <c r="AU29" s="1">
        <v>12585</v>
      </c>
      <c r="AV29" s="1">
        <v>2.16</v>
      </c>
      <c r="AW29" s="1">
        <v>13.3941</v>
      </c>
      <c r="AX29" s="1">
        <v>2.7</v>
      </c>
      <c r="AY29" s="1">
        <v>1.9084099999999999</v>
      </c>
      <c r="AZ29" s="1">
        <v>4.2</v>
      </c>
      <c r="BA29" s="1">
        <v>0.185473</v>
      </c>
      <c r="BB29" s="1">
        <v>3.2</v>
      </c>
      <c r="BC29" s="1">
        <v>0.76800000000000002</v>
      </c>
      <c r="BD29" s="1">
        <v>1096.8</v>
      </c>
      <c r="BE29" s="1">
        <v>32.5</v>
      </c>
      <c r="BF29" s="1">
        <v>1084</v>
      </c>
      <c r="BG29" s="1">
        <v>28</v>
      </c>
      <c r="BH29" s="1">
        <v>1058.5</v>
      </c>
      <c r="BI29" s="1">
        <v>54.2</v>
      </c>
      <c r="BJ29" s="1">
        <v>1058.5</v>
      </c>
      <c r="BK29" s="1">
        <v>54.2</v>
      </c>
      <c r="BL29" s="1">
        <v>103.6</v>
      </c>
    </row>
    <row r="30" spans="1:64" s="1" customFormat="1" x14ac:dyDescent="0.2">
      <c r="A30" s="1" t="s">
        <v>23</v>
      </c>
      <c r="B30" s="1">
        <v>998</v>
      </c>
      <c r="C30" s="1">
        <v>43673</v>
      </c>
      <c r="D30" s="1">
        <v>8.94</v>
      </c>
      <c r="E30" s="1">
        <v>18.528300000000002</v>
      </c>
      <c r="F30" s="1">
        <v>2.8</v>
      </c>
      <c r="G30" s="1">
        <v>0.40011999999999998</v>
      </c>
      <c r="H30" s="1">
        <v>4.0999999999999996</v>
      </c>
      <c r="I30" s="1">
        <v>5.3793000000000001E-2</v>
      </c>
      <c r="J30" s="1">
        <v>3</v>
      </c>
      <c r="K30" s="1">
        <v>0.73</v>
      </c>
      <c r="L30" s="1">
        <v>337.8</v>
      </c>
      <c r="M30" s="1">
        <v>9.9</v>
      </c>
      <c r="N30" s="1">
        <v>341.7</v>
      </c>
      <c r="O30" s="1">
        <v>11.9</v>
      </c>
      <c r="P30" s="1">
        <v>368.8</v>
      </c>
      <c r="Q30" s="1">
        <v>63.4</v>
      </c>
      <c r="R30" s="1">
        <v>337.8</v>
      </c>
      <c r="S30" s="1">
        <v>9.9</v>
      </c>
      <c r="T30" s="1">
        <v>91.6</v>
      </c>
      <c r="W30" s="1" t="s">
        <v>219</v>
      </c>
      <c r="X30" s="1">
        <v>1582</v>
      </c>
      <c r="Y30" s="1">
        <v>1000</v>
      </c>
      <c r="Z30" s="1">
        <v>0.48</v>
      </c>
      <c r="AA30" s="1">
        <v>2.8275999999999999</v>
      </c>
      <c r="AB30" s="1">
        <v>137.80000000000001</v>
      </c>
      <c r="AC30" s="1">
        <v>4.2516499999999997</v>
      </c>
      <c r="AD30" s="1">
        <v>140.5</v>
      </c>
      <c r="AE30" s="1">
        <v>8.7230000000000002E-2</v>
      </c>
      <c r="AF30" s="1">
        <v>27.3</v>
      </c>
      <c r="AG30" s="1">
        <v>0.19500000000000001</v>
      </c>
      <c r="AH30" s="1">
        <v>539.1</v>
      </c>
      <c r="AI30" s="1">
        <v>141.4</v>
      </c>
      <c r="AJ30" s="1">
        <v>1684.1</v>
      </c>
      <c r="AK30" s="1">
        <v>1311.5</v>
      </c>
      <c r="AL30" s="1">
        <v>500</v>
      </c>
      <c r="AM30" s="1">
        <v>1</v>
      </c>
      <c r="AN30" s="1">
        <v>539.1</v>
      </c>
      <c r="AO30" s="1">
        <v>141.4</v>
      </c>
      <c r="AP30" s="1">
        <v>107.8</v>
      </c>
      <c r="AS30" s="1" t="s">
        <v>360</v>
      </c>
      <c r="AT30" s="1">
        <v>1265</v>
      </c>
      <c r="AU30" s="1">
        <v>143034</v>
      </c>
      <c r="AV30" s="1">
        <v>5.35</v>
      </c>
      <c r="AW30" s="1">
        <v>17.1343</v>
      </c>
      <c r="AX30" s="1">
        <v>1.8</v>
      </c>
      <c r="AY30" s="1">
        <v>0.7298</v>
      </c>
      <c r="AZ30" s="1">
        <v>2.7</v>
      </c>
      <c r="BA30" s="1">
        <v>9.0732999999999994E-2</v>
      </c>
      <c r="BB30" s="1">
        <v>2</v>
      </c>
      <c r="BC30" s="1">
        <v>0.73899999999999999</v>
      </c>
      <c r="BD30" s="1">
        <v>559.9</v>
      </c>
      <c r="BE30" s="1">
        <v>10.7</v>
      </c>
      <c r="BF30" s="1">
        <v>556.4</v>
      </c>
      <c r="BG30" s="1">
        <v>11.6</v>
      </c>
      <c r="BH30" s="1">
        <v>542.4</v>
      </c>
      <c r="BI30" s="1">
        <v>39.700000000000003</v>
      </c>
      <c r="BJ30" s="1">
        <v>559.9</v>
      </c>
      <c r="BK30" s="1">
        <v>10.7</v>
      </c>
      <c r="BL30" s="1">
        <v>103.2</v>
      </c>
    </row>
    <row r="31" spans="1:64" s="1" customFormat="1" x14ac:dyDescent="0.2">
      <c r="A31" s="1" t="s">
        <v>24</v>
      </c>
      <c r="B31" s="1">
        <v>226</v>
      </c>
      <c r="C31" s="1">
        <v>4365</v>
      </c>
      <c r="D31" s="1">
        <v>0.97</v>
      </c>
      <c r="E31" s="1">
        <v>20.053599999999999</v>
      </c>
      <c r="F31" s="1">
        <v>12</v>
      </c>
      <c r="G31" s="1">
        <v>0.29413</v>
      </c>
      <c r="H31" s="1">
        <v>12.5</v>
      </c>
      <c r="I31" s="1">
        <v>4.2798999999999997E-2</v>
      </c>
      <c r="J31" s="1">
        <v>3.7</v>
      </c>
      <c r="K31" s="1">
        <v>0.29599999999999999</v>
      </c>
      <c r="L31" s="1">
        <v>270.2</v>
      </c>
      <c r="M31" s="1">
        <v>9.8000000000000007</v>
      </c>
      <c r="N31" s="1">
        <v>261.8</v>
      </c>
      <c r="O31" s="1">
        <v>28.9</v>
      </c>
      <c r="P31" s="1">
        <v>187.7</v>
      </c>
      <c r="Q31" s="1">
        <v>278.5</v>
      </c>
      <c r="R31" s="1">
        <v>270.2</v>
      </c>
      <c r="S31" s="1">
        <v>9.8000000000000007</v>
      </c>
      <c r="T31" s="1">
        <v>144</v>
      </c>
      <c r="W31" s="1" t="s">
        <v>220</v>
      </c>
      <c r="X31" s="1">
        <v>1192</v>
      </c>
      <c r="Y31" s="1">
        <v>1000</v>
      </c>
      <c r="Z31" s="1">
        <v>1.04</v>
      </c>
      <c r="AA31" s="1">
        <v>7.2271999999999998</v>
      </c>
      <c r="AB31" s="1">
        <v>51.9</v>
      </c>
      <c r="AC31" s="1">
        <v>1.12263</v>
      </c>
      <c r="AD31" s="1">
        <v>53.8</v>
      </c>
      <c r="AE31" s="1">
        <v>5.8871E-2</v>
      </c>
      <c r="AF31" s="1">
        <v>14.4</v>
      </c>
      <c r="AG31" s="1">
        <v>0.26800000000000002</v>
      </c>
      <c r="AH31" s="1">
        <v>368.8</v>
      </c>
      <c r="AI31" s="1">
        <v>51.8</v>
      </c>
      <c r="AJ31" s="1">
        <v>764.2</v>
      </c>
      <c r="AK31" s="1">
        <v>291</v>
      </c>
      <c r="AL31" s="1">
        <v>2206.1</v>
      </c>
      <c r="AM31" s="1">
        <v>916.8</v>
      </c>
      <c r="AN31" s="1">
        <v>368.8</v>
      </c>
      <c r="AO31" s="1">
        <v>51.8</v>
      </c>
      <c r="AP31" s="1">
        <v>16.7</v>
      </c>
      <c r="AS31" s="1" t="s">
        <v>361</v>
      </c>
      <c r="AT31" s="1">
        <v>1297</v>
      </c>
      <c r="AU31" s="1">
        <v>71173</v>
      </c>
      <c r="AV31" s="1">
        <v>5.36</v>
      </c>
      <c r="AW31" s="1">
        <v>17.1221</v>
      </c>
      <c r="AX31" s="1">
        <v>2</v>
      </c>
      <c r="AY31" s="1">
        <v>0.72863999999999995</v>
      </c>
      <c r="AZ31" s="1">
        <v>3.3</v>
      </c>
      <c r="BA31" s="1">
        <v>9.0523999999999993E-2</v>
      </c>
      <c r="BB31" s="1">
        <v>2.6</v>
      </c>
      <c r="BC31" s="1">
        <v>0.78900000000000003</v>
      </c>
      <c r="BD31" s="1">
        <v>558.6</v>
      </c>
      <c r="BE31" s="1">
        <v>13.7</v>
      </c>
      <c r="BF31" s="1">
        <v>555.79999999999995</v>
      </c>
      <c r="BG31" s="1">
        <v>13.9</v>
      </c>
      <c r="BH31" s="1">
        <v>544</v>
      </c>
      <c r="BI31" s="1">
        <v>43.8</v>
      </c>
      <c r="BJ31" s="1">
        <v>558.6</v>
      </c>
      <c r="BK31" s="1">
        <v>13.7</v>
      </c>
      <c r="BL31" s="1">
        <v>102.7</v>
      </c>
    </row>
    <row r="32" spans="1:64" s="1" customFormat="1" x14ac:dyDescent="0.2">
      <c r="A32" s="1" t="s">
        <v>25</v>
      </c>
      <c r="B32" s="1">
        <v>804</v>
      </c>
      <c r="C32" s="1">
        <v>78723</v>
      </c>
      <c r="D32" s="1">
        <v>2.2400000000000002</v>
      </c>
      <c r="E32" s="1">
        <v>16.611000000000001</v>
      </c>
      <c r="F32" s="1">
        <v>1.9</v>
      </c>
      <c r="G32" s="1">
        <v>0.79124000000000005</v>
      </c>
      <c r="H32" s="1">
        <v>2.8</v>
      </c>
      <c r="I32" s="1">
        <v>9.5366999999999993E-2</v>
      </c>
      <c r="J32" s="1">
        <v>2.1</v>
      </c>
      <c r="K32" s="1">
        <v>0.73399999999999999</v>
      </c>
      <c r="L32" s="1">
        <v>587.20000000000005</v>
      </c>
      <c r="M32" s="1">
        <v>11.6</v>
      </c>
      <c r="N32" s="1">
        <v>591.9</v>
      </c>
      <c r="O32" s="1">
        <v>12.6</v>
      </c>
      <c r="P32" s="1">
        <v>609.79999999999995</v>
      </c>
      <c r="Q32" s="1">
        <v>41.2</v>
      </c>
      <c r="R32" s="1">
        <v>587.20000000000005</v>
      </c>
      <c r="S32" s="1">
        <v>11.6</v>
      </c>
      <c r="T32" s="1">
        <v>96.3</v>
      </c>
      <c r="W32" s="1" t="s">
        <v>221</v>
      </c>
      <c r="X32" s="1">
        <v>299</v>
      </c>
      <c r="Y32" s="1">
        <v>8686</v>
      </c>
      <c r="Z32" s="1">
        <v>0.76</v>
      </c>
      <c r="AA32" s="1">
        <v>17.755700000000001</v>
      </c>
      <c r="AB32" s="1">
        <v>6.9</v>
      </c>
      <c r="AC32" s="1">
        <v>0.32845999999999997</v>
      </c>
      <c r="AD32" s="1">
        <v>8.6</v>
      </c>
      <c r="AE32" s="1">
        <v>4.2317E-2</v>
      </c>
      <c r="AF32" s="1">
        <v>5.2</v>
      </c>
      <c r="AG32" s="1">
        <v>0.60299999999999998</v>
      </c>
      <c r="AH32" s="1">
        <v>267.2</v>
      </c>
      <c r="AI32" s="1">
        <v>13.6</v>
      </c>
      <c r="AJ32" s="1">
        <v>288.39999999999998</v>
      </c>
      <c r="AK32" s="1">
        <v>21.7</v>
      </c>
      <c r="AL32" s="1">
        <v>464</v>
      </c>
      <c r="AM32" s="1">
        <v>152.5</v>
      </c>
      <c r="AN32" s="1">
        <v>267.2</v>
      </c>
      <c r="AO32" s="1">
        <v>13.6</v>
      </c>
      <c r="AP32" s="1">
        <v>57.6</v>
      </c>
      <c r="AS32" s="1" t="s">
        <v>362</v>
      </c>
      <c r="AT32" s="1">
        <v>1176</v>
      </c>
      <c r="AU32" s="1">
        <v>66332</v>
      </c>
      <c r="AV32" s="1">
        <v>0.75</v>
      </c>
      <c r="AW32" s="1">
        <v>17.658200000000001</v>
      </c>
      <c r="AX32" s="1">
        <v>2.6</v>
      </c>
      <c r="AY32" s="1">
        <v>0.50024999999999997</v>
      </c>
      <c r="AZ32" s="1">
        <v>3.9</v>
      </c>
      <c r="BA32" s="1">
        <v>6.4096E-2</v>
      </c>
      <c r="BB32" s="1">
        <v>2.9</v>
      </c>
      <c r="BC32" s="1">
        <v>0.74199999999999999</v>
      </c>
      <c r="BD32" s="1">
        <v>400.5</v>
      </c>
      <c r="BE32" s="1">
        <v>11.2</v>
      </c>
      <c r="BF32" s="1">
        <v>411.9</v>
      </c>
      <c r="BG32" s="1">
        <v>13.2</v>
      </c>
      <c r="BH32" s="1">
        <v>476.2</v>
      </c>
      <c r="BI32" s="1">
        <v>57.9</v>
      </c>
      <c r="BJ32" s="1">
        <v>400.5</v>
      </c>
      <c r="BK32" s="1">
        <v>11.2</v>
      </c>
      <c r="BL32" s="1">
        <v>84.1</v>
      </c>
    </row>
    <row r="33" spans="1:64" s="1" customFormat="1" x14ac:dyDescent="0.2">
      <c r="A33" s="1" t="s">
        <v>26</v>
      </c>
      <c r="B33" s="1">
        <v>342</v>
      </c>
      <c r="C33" s="1">
        <v>552499</v>
      </c>
      <c r="D33" s="1">
        <v>3.24</v>
      </c>
      <c r="E33" s="1">
        <v>16.404</v>
      </c>
      <c r="F33" s="1">
        <v>2.2000000000000002</v>
      </c>
      <c r="G33" s="1">
        <v>0.82025999999999999</v>
      </c>
      <c r="H33" s="1">
        <v>3.8</v>
      </c>
      <c r="I33" s="1">
        <v>9.7632999999999998E-2</v>
      </c>
      <c r="J33" s="1">
        <v>3</v>
      </c>
      <c r="K33" s="1">
        <v>0.80200000000000005</v>
      </c>
      <c r="L33" s="1">
        <v>600.5</v>
      </c>
      <c r="M33" s="1">
        <v>17.3</v>
      </c>
      <c r="N33" s="1">
        <v>608.20000000000005</v>
      </c>
      <c r="O33" s="1">
        <v>17.2</v>
      </c>
      <c r="P33" s="1">
        <v>636.9</v>
      </c>
      <c r="Q33" s="1">
        <v>48.2</v>
      </c>
      <c r="R33" s="1">
        <v>600.5</v>
      </c>
      <c r="S33" s="1">
        <v>17.3</v>
      </c>
      <c r="T33" s="1">
        <v>94.3</v>
      </c>
      <c r="W33" s="1" t="s">
        <v>222</v>
      </c>
      <c r="X33" s="1">
        <v>403</v>
      </c>
      <c r="Y33" s="1">
        <v>76500</v>
      </c>
      <c r="Z33" s="1">
        <v>4.54</v>
      </c>
      <c r="AA33" s="1">
        <v>18.965</v>
      </c>
      <c r="AB33" s="1">
        <v>3.8</v>
      </c>
      <c r="AC33" s="1">
        <v>0.33135999999999999</v>
      </c>
      <c r="AD33" s="1">
        <v>6.1</v>
      </c>
      <c r="AE33" s="1">
        <v>4.5598E-2</v>
      </c>
      <c r="AF33" s="1">
        <v>4.7</v>
      </c>
      <c r="AG33" s="1">
        <v>0.77900000000000003</v>
      </c>
      <c r="AH33" s="1">
        <v>287.39999999999998</v>
      </c>
      <c r="AI33" s="1">
        <v>13.3</v>
      </c>
      <c r="AJ33" s="1">
        <v>290.60000000000002</v>
      </c>
      <c r="AK33" s="1">
        <v>15.3</v>
      </c>
      <c r="AL33" s="1">
        <v>316.10000000000002</v>
      </c>
      <c r="AM33" s="1">
        <v>86.4</v>
      </c>
      <c r="AN33" s="1">
        <v>287.39999999999998</v>
      </c>
      <c r="AO33" s="1">
        <v>13.3</v>
      </c>
      <c r="AP33" s="1">
        <v>90.9</v>
      </c>
      <c r="AS33" s="1" t="s">
        <v>363</v>
      </c>
      <c r="AT33" s="1">
        <v>1702</v>
      </c>
      <c r="AU33" s="1">
        <v>79085</v>
      </c>
      <c r="AV33" s="1">
        <v>1.05</v>
      </c>
      <c r="AW33" s="1">
        <v>18.006399999999999</v>
      </c>
      <c r="AX33" s="1">
        <v>2</v>
      </c>
      <c r="AY33" s="1">
        <v>0.51832</v>
      </c>
      <c r="AZ33" s="1">
        <v>3.1</v>
      </c>
      <c r="BA33" s="1">
        <v>6.7720000000000002E-2</v>
      </c>
      <c r="BB33" s="1">
        <v>2.4</v>
      </c>
      <c r="BC33" s="1">
        <v>0.77</v>
      </c>
      <c r="BD33" s="1">
        <v>422.4</v>
      </c>
      <c r="BE33" s="1">
        <v>9.6999999999999993</v>
      </c>
      <c r="BF33" s="1">
        <v>424</v>
      </c>
      <c r="BG33" s="1">
        <v>10.7</v>
      </c>
      <c r="BH33" s="1">
        <v>432.8</v>
      </c>
      <c r="BI33" s="1">
        <v>43.8</v>
      </c>
      <c r="BJ33" s="1">
        <v>422.4</v>
      </c>
      <c r="BK33" s="1">
        <v>9.6999999999999993</v>
      </c>
      <c r="BL33" s="1">
        <v>97.6</v>
      </c>
    </row>
    <row r="34" spans="1:64" s="1" customFormat="1" x14ac:dyDescent="0.2">
      <c r="A34" s="1" t="s">
        <v>27</v>
      </c>
      <c r="B34" s="1">
        <v>181</v>
      </c>
      <c r="C34" s="1">
        <v>7496</v>
      </c>
      <c r="D34" s="1">
        <v>1.95</v>
      </c>
      <c r="E34" s="1">
        <v>18.8794</v>
      </c>
      <c r="F34" s="1">
        <v>7.6</v>
      </c>
      <c r="G34" s="1">
        <v>0.37896000000000002</v>
      </c>
      <c r="H34" s="1">
        <v>9</v>
      </c>
      <c r="I34" s="1">
        <v>5.1912E-2</v>
      </c>
      <c r="J34" s="1">
        <v>4.9000000000000004</v>
      </c>
      <c r="K34" s="1">
        <v>0.53900000000000003</v>
      </c>
      <c r="L34" s="1">
        <v>326.3</v>
      </c>
      <c r="M34" s="1">
        <v>15.4</v>
      </c>
      <c r="N34" s="1">
        <v>326.3</v>
      </c>
      <c r="O34" s="1">
        <v>25.1</v>
      </c>
      <c r="P34" s="1">
        <v>326.39999999999998</v>
      </c>
      <c r="Q34" s="1">
        <v>172.2</v>
      </c>
      <c r="R34" s="1">
        <v>326.3</v>
      </c>
      <c r="S34" s="1">
        <v>15.4</v>
      </c>
      <c r="T34" s="1">
        <v>100</v>
      </c>
      <c r="W34" s="1" t="s">
        <v>223</v>
      </c>
      <c r="X34" s="1">
        <v>855</v>
      </c>
      <c r="Y34" s="1">
        <v>28982</v>
      </c>
      <c r="Z34" s="1">
        <v>4.5</v>
      </c>
      <c r="AA34" s="1">
        <v>19.046500000000002</v>
      </c>
      <c r="AB34" s="1">
        <v>4.2</v>
      </c>
      <c r="AC34" s="1">
        <v>0.33054</v>
      </c>
      <c r="AD34" s="1">
        <v>5.8</v>
      </c>
      <c r="AE34" s="1">
        <v>4.5679999999999998E-2</v>
      </c>
      <c r="AF34" s="1">
        <v>4</v>
      </c>
      <c r="AG34" s="1">
        <v>0.69299999999999995</v>
      </c>
      <c r="AH34" s="1">
        <v>287.89999999999998</v>
      </c>
      <c r="AI34" s="1">
        <v>11.3</v>
      </c>
      <c r="AJ34" s="1">
        <v>290</v>
      </c>
      <c r="AK34" s="1">
        <v>14.7</v>
      </c>
      <c r="AL34" s="1">
        <v>306.3</v>
      </c>
      <c r="AM34" s="1">
        <v>95.4</v>
      </c>
      <c r="AN34" s="1">
        <v>287.89999999999998</v>
      </c>
      <c r="AO34" s="1">
        <v>11.3</v>
      </c>
      <c r="AP34" s="1">
        <v>94</v>
      </c>
      <c r="AS34" s="1" t="s">
        <v>364</v>
      </c>
      <c r="AT34" s="1">
        <v>212</v>
      </c>
      <c r="AU34" s="1">
        <v>63436</v>
      </c>
      <c r="AV34" s="1">
        <v>2.08</v>
      </c>
      <c r="AW34" s="1">
        <v>13.0756</v>
      </c>
      <c r="AX34" s="1">
        <v>2.4</v>
      </c>
      <c r="AY34" s="1">
        <v>1.97495</v>
      </c>
      <c r="AZ34" s="1">
        <v>4.5999999999999996</v>
      </c>
      <c r="BA34" s="1">
        <v>0.18737500000000001</v>
      </c>
      <c r="BB34" s="1">
        <v>3.9</v>
      </c>
      <c r="BC34" s="1">
        <v>0.85</v>
      </c>
      <c r="BD34" s="1">
        <v>1107.0999999999999</v>
      </c>
      <c r="BE34" s="1">
        <v>39.700000000000003</v>
      </c>
      <c r="BF34" s="1">
        <v>1107</v>
      </c>
      <c r="BG34" s="1">
        <v>30.9</v>
      </c>
      <c r="BH34" s="1">
        <v>1106.7</v>
      </c>
      <c r="BI34" s="1">
        <v>48.3</v>
      </c>
      <c r="BJ34" s="1">
        <v>1106.7</v>
      </c>
      <c r="BK34" s="1">
        <v>48.3</v>
      </c>
      <c r="BL34" s="1">
        <v>100</v>
      </c>
    </row>
    <row r="35" spans="1:64" s="1" customFormat="1" x14ac:dyDescent="0.2">
      <c r="A35" s="1" t="s">
        <v>28</v>
      </c>
      <c r="B35" s="1">
        <v>373</v>
      </c>
      <c r="C35" s="1">
        <v>13017</v>
      </c>
      <c r="D35" s="1">
        <v>2.2999999999999998</v>
      </c>
      <c r="E35" s="1">
        <v>19.3247</v>
      </c>
      <c r="F35" s="1">
        <v>5.5</v>
      </c>
      <c r="G35" s="1">
        <v>0.35017999999999999</v>
      </c>
      <c r="H35" s="1">
        <v>6.6</v>
      </c>
      <c r="I35" s="1">
        <v>4.9102E-2</v>
      </c>
      <c r="J35" s="1">
        <v>3.5</v>
      </c>
      <c r="K35" s="1">
        <v>0.53700000000000003</v>
      </c>
      <c r="L35" s="1">
        <v>309</v>
      </c>
      <c r="M35" s="1">
        <v>10.7</v>
      </c>
      <c r="N35" s="1">
        <v>304.89999999999998</v>
      </c>
      <c r="O35" s="1">
        <v>17.3</v>
      </c>
      <c r="P35" s="1">
        <v>273.2</v>
      </c>
      <c r="Q35" s="1">
        <v>127</v>
      </c>
      <c r="R35" s="1">
        <v>309</v>
      </c>
      <c r="S35" s="1">
        <v>10.7</v>
      </c>
      <c r="T35" s="1">
        <v>113.1</v>
      </c>
      <c r="W35" s="1" t="s">
        <v>224</v>
      </c>
      <c r="X35" s="1">
        <v>14913</v>
      </c>
      <c r="Y35" s="1">
        <v>10397</v>
      </c>
      <c r="Z35" s="1">
        <v>8.7200000000000006</v>
      </c>
      <c r="AA35" s="1">
        <v>15.8187</v>
      </c>
      <c r="AB35" s="1">
        <v>5.0999999999999996</v>
      </c>
      <c r="AC35" s="1">
        <v>0.24864</v>
      </c>
      <c r="AD35" s="1">
        <v>11.9</v>
      </c>
      <c r="AE35" s="1">
        <v>2.8538999999999998E-2</v>
      </c>
      <c r="AF35" s="1">
        <v>10.8</v>
      </c>
      <c r="AG35" s="1">
        <v>0.90200000000000002</v>
      </c>
      <c r="AH35" s="1">
        <v>181.4</v>
      </c>
      <c r="AI35" s="1">
        <v>19.3</v>
      </c>
      <c r="AJ35" s="1">
        <v>225.5</v>
      </c>
      <c r="AK35" s="1">
        <v>24.1</v>
      </c>
      <c r="AL35" s="1">
        <v>714.6</v>
      </c>
      <c r="AM35" s="1">
        <v>109.3</v>
      </c>
      <c r="AN35" s="1">
        <v>181.4</v>
      </c>
      <c r="AO35" s="1">
        <v>19.3</v>
      </c>
      <c r="AP35" s="1">
        <v>25.4</v>
      </c>
      <c r="AS35" s="1" t="s">
        <v>365</v>
      </c>
      <c r="AT35" s="1">
        <v>192</v>
      </c>
      <c r="AU35" s="1">
        <v>31804</v>
      </c>
      <c r="AV35" s="1">
        <v>1.79</v>
      </c>
      <c r="AW35" s="1">
        <v>13.081099999999999</v>
      </c>
      <c r="AX35" s="1">
        <v>3.1</v>
      </c>
      <c r="AY35" s="1">
        <v>1.9163600000000001</v>
      </c>
      <c r="AZ35" s="1">
        <v>4.7</v>
      </c>
      <c r="BA35" s="1">
        <v>0.181893</v>
      </c>
      <c r="BB35" s="1">
        <v>3.5</v>
      </c>
      <c r="BC35" s="1">
        <v>0.748</v>
      </c>
      <c r="BD35" s="1">
        <v>1077.3</v>
      </c>
      <c r="BE35" s="1">
        <v>35.1</v>
      </c>
      <c r="BF35" s="1">
        <v>1086.8</v>
      </c>
      <c r="BG35" s="1">
        <v>31.6</v>
      </c>
      <c r="BH35" s="1">
        <v>1105.9000000000001</v>
      </c>
      <c r="BI35" s="1">
        <v>62.7</v>
      </c>
      <c r="BJ35" s="1">
        <v>1105.9000000000001</v>
      </c>
      <c r="BK35" s="1">
        <v>62.7</v>
      </c>
      <c r="BL35" s="1">
        <v>97.4</v>
      </c>
    </row>
    <row r="36" spans="1:64" s="1" customFormat="1" x14ac:dyDescent="0.2">
      <c r="A36" s="1" t="s">
        <v>29</v>
      </c>
      <c r="B36" s="1">
        <v>79</v>
      </c>
      <c r="C36" s="1">
        <v>43041</v>
      </c>
      <c r="D36" s="1">
        <v>1.89</v>
      </c>
      <c r="E36" s="1">
        <v>16.399000000000001</v>
      </c>
      <c r="F36" s="1">
        <v>7.1</v>
      </c>
      <c r="G36" s="1">
        <v>0.80705000000000005</v>
      </c>
      <c r="H36" s="1">
        <v>9.5</v>
      </c>
      <c r="I36" s="1">
        <v>9.6032000000000006E-2</v>
      </c>
      <c r="J36" s="1">
        <v>6.3</v>
      </c>
      <c r="K36" s="1">
        <v>0.66200000000000003</v>
      </c>
      <c r="L36" s="1">
        <v>591.1</v>
      </c>
      <c r="M36" s="1">
        <v>35.6</v>
      </c>
      <c r="N36" s="1">
        <v>600.79999999999995</v>
      </c>
      <c r="O36" s="1">
        <v>43.2</v>
      </c>
      <c r="P36" s="1">
        <v>637.6</v>
      </c>
      <c r="Q36" s="1">
        <v>153.80000000000001</v>
      </c>
      <c r="R36" s="1">
        <v>591.1</v>
      </c>
      <c r="S36" s="1">
        <v>35.6</v>
      </c>
      <c r="T36" s="1">
        <v>92.7</v>
      </c>
      <c r="W36" s="1" t="s">
        <v>225</v>
      </c>
      <c r="X36" s="1">
        <v>933</v>
      </c>
      <c r="Y36" s="1">
        <v>175238</v>
      </c>
      <c r="Z36" s="1">
        <v>5.16</v>
      </c>
      <c r="AA36" s="1">
        <v>5.9504999999999999</v>
      </c>
      <c r="AB36" s="1">
        <v>1.6</v>
      </c>
      <c r="AC36" s="1">
        <v>6.6769400000000001</v>
      </c>
      <c r="AD36" s="1">
        <v>3.1</v>
      </c>
      <c r="AE36" s="1">
        <v>0.28828799999999999</v>
      </c>
      <c r="AF36" s="1">
        <v>2.6</v>
      </c>
      <c r="AG36" s="1">
        <v>0.86</v>
      </c>
      <c r="AH36" s="1">
        <v>1633</v>
      </c>
      <c r="AI36" s="1">
        <v>38.200000000000003</v>
      </c>
      <c r="AJ36" s="1">
        <v>2069.6</v>
      </c>
      <c r="AK36" s="1">
        <v>27.2</v>
      </c>
      <c r="AL36" s="1">
        <v>2537.6</v>
      </c>
      <c r="AM36" s="1">
        <v>26.3</v>
      </c>
      <c r="AN36" s="1">
        <v>2537.6</v>
      </c>
      <c r="AO36" s="1">
        <v>26.3</v>
      </c>
      <c r="AP36" s="1">
        <v>64.400000000000006</v>
      </c>
      <c r="AS36" s="1" t="s">
        <v>366</v>
      </c>
      <c r="AT36" s="1">
        <v>1273</v>
      </c>
      <c r="AU36" s="1">
        <v>61609</v>
      </c>
      <c r="AV36" s="1">
        <v>5.27</v>
      </c>
      <c r="AW36" s="1">
        <v>16.828199999999999</v>
      </c>
      <c r="AX36" s="1">
        <v>2.2000000000000002</v>
      </c>
      <c r="AY36" s="1">
        <v>0.74117</v>
      </c>
      <c r="AZ36" s="1">
        <v>3.1</v>
      </c>
      <c r="BA36" s="1">
        <v>9.0499999999999997E-2</v>
      </c>
      <c r="BB36" s="1">
        <v>2.2000000000000002</v>
      </c>
      <c r="BC36" s="1">
        <v>0.71799999999999997</v>
      </c>
      <c r="BD36" s="1">
        <v>558.5</v>
      </c>
      <c r="BE36" s="1">
        <v>12</v>
      </c>
      <c r="BF36" s="1">
        <v>563.1</v>
      </c>
      <c r="BG36" s="1">
        <v>13.5</v>
      </c>
      <c r="BH36" s="1">
        <v>581.70000000000005</v>
      </c>
      <c r="BI36" s="1">
        <v>47.1</v>
      </c>
      <c r="BJ36" s="1">
        <v>558.5</v>
      </c>
      <c r="BK36" s="1">
        <v>12</v>
      </c>
      <c r="BL36" s="1">
        <v>96</v>
      </c>
    </row>
    <row r="37" spans="1:64" s="1" customFormat="1" x14ac:dyDescent="0.2">
      <c r="A37" s="1" t="s">
        <v>30</v>
      </c>
      <c r="B37" s="1">
        <v>112</v>
      </c>
      <c r="C37" s="1">
        <v>35328</v>
      </c>
      <c r="D37" s="1">
        <v>1.65</v>
      </c>
      <c r="E37" s="1">
        <v>16.018599999999999</v>
      </c>
      <c r="F37" s="1">
        <v>5.2</v>
      </c>
      <c r="G37" s="1">
        <v>0.87799000000000005</v>
      </c>
      <c r="H37" s="1">
        <v>8.4</v>
      </c>
      <c r="I37" s="1">
        <v>0.102049</v>
      </c>
      <c r="J37" s="1">
        <v>6.5</v>
      </c>
      <c r="K37" s="1">
        <v>0.78100000000000003</v>
      </c>
      <c r="L37" s="1">
        <v>626.4</v>
      </c>
      <c r="M37" s="1">
        <v>39</v>
      </c>
      <c r="N37" s="1">
        <v>639.9</v>
      </c>
      <c r="O37" s="1">
        <v>39.700000000000003</v>
      </c>
      <c r="P37" s="1">
        <v>687.8</v>
      </c>
      <c r="Q37" s="1">
        <v>111.3</v>
      </c>
      <c r="R37" s="1">
        <v>626.4</v>
      </c>
      <c r="S37" s="1">
        <v>39</v>
      </c>
      <c r="T37" s="1">
        <v>91.1</v>
      </c>
      <c r="AS37" s="1" t="s">
        <v>367</v>
      </c>
      <c r="AT37" s="1">
        <v>297</v>
      </c>
      <c r="AU37" s="1">
        <v>15546</v>
      </c>
      <c r="AV37" s="1">
        <v>1.74</v>
      </c>
      <c r="AW37" s="1">
        <v>13.3239</v>
      </c>
      <c r="AX37" s="1">
        <v>3.1</v>
      </c>
      <c r="AY37" s="1">
        <v>1.93997</v>
      </c>
      <c r="AZ37" s="1">
        <v>4.7</v>
      </c>
      <c r="BA37" s="1">
        <v>0.187552</v>
      </c>
      <c r="BB37" s="1">
        <v>3.5</v>
      </c>
      <c r="BC37" s="1">
        <v>0.748</v>
      </c>
      <c r="BD37" s="1">
        <v>1108.0999999999999</v>
      </c>
      <c r="BE37" s="1">
        <v>36</v>
      </c>
      <c r="BF37" s="1">
        <v>1095</v>
      </c>
      <c r="BG37" s="1">
        <v>31.6</v>
      </c>
      <c r="BH37" s="1">
        <v>1069</v>
      </c>
      <c r="BI37" s="1">
        <v>63</v>
      </c>
      <c r="BJ37" s="1">
        <v>1069</v>
      </c>
      <c r="BK37" s="1">
        <v>63</v>
      </c>
      <c r="BL37" s="1">
        <v>103.7</v>
      </c>
    </row>
    <row r="38" spans="1:64" s="1" customFormat="1" x14ac:dyDescent="0.2">
      <c r="A38" s="1" t="s">
        <v>31</v>
      </c>
      <c r="B38" s="1">
        <v>1679</v>
      </c>
      <c r="C38" s="1">
        <v>68474</v>
      </c>
      <c r="D38" s="1">
        <v>22.16</v>
      </c>
      <c r="E38" s="1">
        <v>19.053699999999999</v>
      </c>
      <c r="F38" s="1">
        <v>2.5</v>
      </c>
      <c r="G38" s="1">
        <v>0.33667000000000002</v>
      </c>
      <c r="H38" s="1">
        <v>4.5</v>
      </c>
      <c r="I38" s="1">
        <v>4.6545999999999997E-2</v>
      </c>
      <c r="J38" s="1">
        <v>3.8</v>
      </c>
      <c r="K38" s="1">
        <v>0.83199999999999996</v>
      </c>
      <c r="L38" s="1">
        <v>293.3</v>
      </c>
      <c r="M38" s="1">
        <v>10.8</v>
      </c>
      <c r="N38" s="1">
        <v>294.60000000000002</v>
      </c>
      <c r="O38" s="1">
        <v>11.6</v>
      </c>
      <c r="P38" s="1">
        <v>305.5</v>
      </c>
      <c r="Q38" s="1">
        <v>57.4</v>
      </c>
      <c r="R38" s="1">
        <v>293.3</v>
      </c>
      <c r="S38" s="1">
        <v>10.8</v>
      </c>
      <c r="T38" s="1">
        <v>96</v>
      </c>
      <c r="AS38" s="1" t="s">
        <v>368</v>
      </c>
      <c r="AT38" s="1">
        <v>1278</v>
      </c>
      <c r="AU38" s="1">
        <v>239083</v>
      </c>
      <c r="AV38" s="1">
        <v>5.27</v>
      </c>
      <c r="AW38" s="1">
        <v>16.879799999999999</v>
      </c>
      <c r="AX38" s="1">
        <v>2.2000000000000002</v>
      </c>
      <c r="AY38" s="1">
        <v>0.73285</v>
      </c>
      <c r="AZ38" s="1">
        <v>3.4</v>
      </c>
      <c r="BA38" s="1">
        <v>8.9759000000000005E-2</v>
      </c>
      <c r="BB38" s="1">
        <v>2.6</v>
      </c>
      <c r="BC38" s="1">
        <v>0.76300000000000001</v>
      </c>
      <c r="BD38" s="1">
        <v>554.1</v>
      </c>
      <c r="BE38" s="1">
        <v>14</v>
      </c>
      <c r="BF38" s="1">
        <v>558.20000000000005</v>
      </c>
      <c r="BG38" s="1">
        <v>14.8</v>
      </c>
      <c r="BH38" s="1">
        <v>575</v>
      </c>
      <c r="BI38" s="1">
        <v>48.4</v>
      </c>
      <c r="BJ38" s="1">
        <v>554.1</v>
      </c>
      <c r="BK38" s="1">
        <v>14</v>
      </c>
      <c r="BL38" s="1">
        <v>96.4</v>
      </c>
    </row>
    <row r="39" spans="1:64" s="1" customFormat="1" x14ac:dyDescent="0.2">
      <c r="A39" s="1" t="s">
        <v>32</v>
      </c>
      <c r="B39" s="1">
        <v>615</v>
      </c>
      <c r="C39" s="1">
        <v>12726</v>
      </c>
      <c r="D39" s="1">
        <v>3.5</v>
      </c>
      <c r="E39" s="1">
        <v>18.984100000000002</v>
      </c>
      <c r="F39" s="1">
        <v>4.0999999999999996</v>
      </c>
      <c r="G39" s="1">
        <v>0.38479999999999998</v>
      </c>
      <c r="H39" s="1">
        <v>5</v>
      </c>
      <c r="I39" s="1">
        <v>5.3004999999999997E-2</v>
      </c>
      <c r="J39" s="1">
        <v>2.9</v>
      </c>
      <c r="K39" s="1">
        <v>0.56999999999999995</v>
      </c>
      <c r="L39" s="1">
        <v>332.9</v>
      </c>
      <c r="M39" s="1">
        <v>9.3000000000000007</v>
      </c>
      <c r="N39" s="1">
        <v>330.6</v>
      </c>
      <c r="O39" s="1">
        <v>14.1</v>
      </c>
      <c r="P39" s="1">
        <v>313.8</v>
      </c>
      <c r="Q39" s="1">
        <v>93.7</v>
      </c>
      <c r="R39" s="1">
        <v>332.9</v>
      </c>
      <c r="S39" s="1">
        <v>9.3000000000000007</v>
      </c>
      <c r="T39" s="1">
        <v>106.1</v>
      </c>
      <c r="AS39" s="1" t="s">
        <v>369</v>
      </c>
      <c r="AT39" s="1">
        <v>238</v>
      </c>
      <c r="AU39" s="1">
        <v>28075</v>
      </c>
      <c r="AV39" s="1">
        <v>2.38</v>
      </c>
      <c r="AW39" s="1">
        <v>13.037000000000001</v>
      </c>
      <c r="AX39" s="1">
        <v>2.6</v>
      </c>
      <c r="AY39" s="1">
        <v>1.96471</v>
      </c>
      <c r="AZ39" s="1">
        <v>4.4000000000000004</v>
      </c>
      <c r="BA39" s="1">
        <v>0.18585299999999999</v>
      </c>
      <c r="BB39" s="1">
        <v>3.5</v>
      </c>
      <c r="BC39" s="1">
        <v>0.81</v>
      </c>
      <c r="BD39" s="1">
        <v>1098.9000000000001</v>
      </c>
      <c r="BE39" s="1">
        <v>35.700000000000003</v>
      </c>
      <c r="BF39" s="1">
        <v>1103.5</v>
      </c>
      <c r="BG39" s="1">
        <v>29.3</v>
      </c>
      <c r="BH39" s="1">
        <v>1112.5999999999999</v>
      </c>
      <c r="BI39" s="1">
        <v>51</v>
      </c>
      <c r="BJ39" s="1">
        <v>1112.5999999999999</v>
      </c>
      <c r="BK39" s="1">
        <v>51</v>
      </c>
      <c r="BL39" s="1">
        <v>98.8</v>
      </c>
    </row>
    <row r="40" spans="1:64" s="1" customFormat="1" x14ac:dyDescent="0.2">
      <c r="A40" s="1" t="s">
        <v>33</v>
      </c>
      <c r="B40" s="1">
        <v>1595</v>
      </c>
      <c r="C40" s="1">
        <v>84286</v>
      </c>
      <c r="D40" s="1">
        <v>16.760000000000002</v>
      </c>
      <c r="E40" s="1">
        <v>18.7182</v>
      </c>
      <c r="F40" s="1">
        <v>3</v>
      </c>
      <c r="G40" s="1">
        <v>0.39527000000000001</v>
      </c>
      <c r="H40" s="1">
        <v>4.2</v>
      </c>
      <c r="I40" s="1">
        <v>5.3684000000000003E-2</v>
      </c>
      <c r="J40" s="1">
        <v>2.9</v>
      </c>
      <c r="K40" s="1">
        <v>0.68799999999999994</v>
      </c>
      <c r="L40" s="1">
        <v>337.1</v>
      </c>
      <c r="M40" s="1">
        <v>9.4</v>
      </c>
      <c r="N40" s="1">
        <v>338.2</v>
      </c>
      <c r="O40" s="1">
        <v>12</v>
      </c>
      <c r="P40" s="1">
        <v>345.8</v>
      </c>
      <c r="Q40" s="1">
        <v>68.7</v>
      </c>
      <c r="R40" s="1">
        <v>337.1</v>
      </c>
      <c r="S40" s="1">
        <v>9.4</v>
      </c>
      <c r="T40" s="1">
        <v>97.5</v>
      </c>
      <c r="AS40" s="1" t="s">
        <v>370</v>
      </c>
      <c r="AT40" s="1">
        <v>1267</v>
      </c>
      <c r="AU40" s="1">
        <v>213614</v>
      </c>
      <c r="AV40" s="1">
        <v>5.27</v>
      </c>
      <c r="AW40" s="1">
        <v>17.0869</v>
      </c>
      <c r="AX40" s="1">
        <v>1.3</v>
      </c>
      <c r="AY40" s="1">
        <v>0.72880999999999996</v>
      </c>
      <c r="AZ40" s="1">
        <v>2.8</v>
      </c>
      <c r="BA40" s="1">
        <v>9.0358999999999995E-2</v>
      </c>
      <c r="BB40" s="1">
        <v>2.4</v>
      </c>
      <c r="BC40" s="1">
        <v>0.876</v>
      </c>
      <c r="BD40" s="1">
        <v>557.70000000000005</v>
      </c>
      <c r="BE40" s="1">
        <v>13</v>
      </c>
      <c r="BF40" s="1">
        <v>555.9</v>
      </c>
      <c r="BG40" s="1">
        <v>11.9</v>
      </c>
      <c r="BH40" s="1">
        <v>548.5</v>
      </c>
      <c r="BI40" s="1">
        <v>29.3</v>
      </c>
      <c r="BJ40" s="1">
        <v>557.70000000000005</v>
      </c>
      <c r="BK40" s="1">
        <v>13</v>
      </c>
      <c r="BL40" s="1">
        <v>101.7</v>
      </c>
    </row>
    <row r="41" spans="1:64" s="1" customFormat="1" x14ac:dyDescent="0.2">
      <c r="A41" s="1" t="s">
        <v>34</v>
      </c>
      <c r="B41" s="1">
        <v>627</v>
      </c>
      <c r="C41" s="1">
        <v>6831</v>
      </c>
      <c r="D41" s="1">
        <v>8.8699999999999992</v>
      </c>
      <c r="E41" s="1">
        <v>19.437000000000001</v>
      </c>
      <c r="F41" s="1">
        <v>6.9</v>
      </c>
      <c r="G41" s="1">
        <v>0.39943000000000001</v>
      </c>
      <c r="H41" s="1">
        <v>7.8</v>
      </c>
      <c r="I41" s="1">
        <v>5.6333000000000001E-2</v>
      </c>
      <c r="J41" s="1">
        <v>3.7</v>
      </c>
      <c r="K41" s="1">
        <v>0.47199999999999998</v>
      </c>
      <c r="L41" s="1">
        <v>353.3</v>
      </c>
      <c r="M41" s="1">
        <v>12.7</v>
      </c>
      <c r="N41" s="1">
        <v>341.2</v>
      </c>
      <c r="O41" s="1">
        <v>22.6</v>
      </c>
      <c r="P41" s="1">
        <v>260</v>
      </c>
      <c r="Q41" s="1">
        <v>158.19999999999999</v>
      </c>
      <c r="R41" s="1">
        <v>353.3</v>
      </c>
      <c r="S41" s="1">
        <v>12.7</v>
      </c>
      <c r="T41" s="1">
        <v>135.9</v>
      </c>
      <c r="AS41" s="1" t="s">
        <v>371</v>
      </c>
      <c r="AT41" s="1">
        <v>141</v>
      </c>
      <c r="AU41" s="1">
        <v>49773</v>
      </c>
      <c r="AV41" s="1">
        <v>2.4500000000000002</v>
      </c>
      <c r="AW41" s="1">
        <v>13.052300000000001</v>
      </c>
      <c r="AX41" s="1">
        <v>3.5</v>
      </c>
      <c r="AY41" s="1">
        <v>1.9539299999999999</v>
      </c>
      <c r="AZ41" s="1">
        <v>6.1</v>
      </c>
      <c r="BA41" s="1">
        <v>0.18505099999999999</v>
      </c>
      <c r="BB41" s="1">
        <v>5</v>
      </c>
      <c r="BC41" s="1">
        <v>0.82</v>
      </c>
      <c r="BD41" s="1">
        <v>1094.5</v>
      </c>
      <c r="BE41" s="1">
        <v>50.4</v>
      </c>
      <c r="BF41" s="1">
        <v>1099.8</v>
      </c>
      <c r="BG41" s="1">
        <v>41</v>
      </c>
      <c r="BH41" s="1">
        <v>1110.3</v>
      </c>
      <c r="BI41" s="1">
        <v>69.8</v>
      </c>
      <c r="BJ41" s="1">
        <v>1110.3</v>
      </c>
      <c r="BK41" s="1">
        <v>69.8</v>
      </c>
      <c r="BL41" s="1">
        <v>98.6</v>
      </c>
    </row>
    <row r="42" spans="1:64" s="1" customFormat="1" x14ac:dyDescent="0.2">
      <c r="A42" s="1" t="s">
        <v>35</v>
      </c>
      <c r="B42" s="1">
        <v>9588</v>
      </c>
      <c r="C42" s="1">
        <v>21828</v>
      </c>
      <c r="D42" s="1">
        <v>16.04</v>
      </c>
      <c r="E42" s="1">
        <v>17.1874</v>
      </c>
      <c r="F42" s="1">
        <v>4.2</v>
      </c>
      <c r="G42" s="1">
        <v>0.34355999999999998</v>
      </c>
      <c r="H42" s="1">
        <v>4.8</v>
      </c>
      <c r="I42" s="1">
        <v>4.2846000000000002E-2</v>
      </c>
      <c r="J42" s="1">
        <v>2.5</v>
      </c>
      <c r="K42" s="1">
        <v>0.51200000000000001</v>
      </c>
      <c r="L42" s="1">
        <v>270.5</v>
      </c>
      <c r="M42" s="1">
        <v>6.6</v>
      </c>
      <c r="N42" s="1">
        <v>299.89999999999998</v>
      </c>
      <c r="O42" s="1">
        <v>12.6</v>
      </c>
      <c r="P42" s="1">
        <v>535.70000000000005</v>
      </c>
      <c r="Q42" s="1">
        <v>90.9</v>
      </c>
      <c r="R42" s="1">
        <v>270.5</v>
      </c>
      <c r="S42" s="1">
        <v>6.6</v>
      </c>
      <c r="T42" s="1">
        <v>50.5</v>
      </c>
      <c r="AS42" s="1" t="s">
        <v>372</v>
      </c>
      <c r="AT42" s="1">
        <v>1329</v>
      </c>
      <c r="AU42" s="1">
        <v>19432</v>
      </c>
      <c r="AV42" s="1">
        <v>5.27</v>
      </c>
      <c r="AW42" s="1">
        <v>17.132300000000001</v>
      </c>
      <c r="AX42" s="1">
        <v>2.5</v>
      </c>
      <c r="AY42" s="1">
        <v>0.71630000000000005</v>
      </c>
      <c r="AZ42" s="1">
        <v>3.5</v>
      </c>
      <c r="BA42" s="1">
        <v>8.9043999999999998E-2</v>
      </c>
      <c r="BB42" s="1">
        <v>2.4</v>
      </c>
      <c r="BC42" s="1">
        <v>0.69399999999999995</v>
      </c>
      <c r="BD42" s="1">
        <v>549.9</v>
      </c>
      <c r="BE42" s="1">
        <v>12.9</v>
      </c>
      <c r="BF42" s="1">
        <v>548.5</v>
      </c>
      <c r="BG42" s="1">
        <v>14.9</v>
      </c>
      <c r="BH42" s="1">
        <v>542.70000000000005</v>
      </c>
      <c r="BI42" s="1">
        <v>55.4</v>
      </c>
      <c r="BJ42" s="1">
        <v>549.9</v>
      </c>
      <c r="BK42" s="1">
        <v>12.9</v>
      </c>
      <c r="BL42" s="1">
        <v>101.3</v>
      </c>
    </row>
    <row r="43" spans="1:64" s="1" customFormat="1" x14ac:dyDescent="0.2">
      <c r="A43" s="1" t="s">
        <v>36</v>
      </c>
      <c r="B43" s="1">
        <v>2338</v>
      </c>
      <c r="C43" s="1">
        <v>67545</v>
      </c>
      <c r="D43" s="1">
        <v>2.76</v>
      </c>
      <c r="E43" s="1">
        <v>18.997699999999998</v>
      </c>
      <c r="F43" s="1">
        <v>2.5</v>
      </c>
      <c r="G43" s="1">
        <v>0.35185</v>
      </c>
      <c r="H43" s="1">
        <v>3.6</v>
      </c>
      <c r="I43" s="1">
        <v>4.8502000000000003E-2</v>
      </c>
      <c r="J43" s="1">
        <v>2.6</v>
      </c>
      <c r="K43" s="1">
        <v>0.72399999999999998</v>
      </c>
      <c r="L43" s="1">
        <v>305.3</v>
      </c>
      <c r="M43" s="1">
        <v>7.8</v>
      </c>
      <c r="N43" s="1">
        <v>306.10000000000002</v>
      </c>
      <c r="O43" s="1">
        <v>9.6</v>
      </c>
      <c r="P43" s="1">
        <v>312.2</v>
      </c>
      <c r="Q43" s="1">
        <v>56.8</v>
      </c>
      <c r="R43" s="1">
        <v>305.3</v>
      </c>
      <c r="S43" s="1">
        <v>7.8</v>
      </c>
      <c r="T43" s="1">
        <v>97.8</v>
      </c>
      <c r="AS43" s="1" t="s">
        <v>373</v>
      </c>
      <c r="AT43" s="1">
        <v>52</v>
      </c>
      <c r="AU43" s="1">
        <v>1000</v>
      </c>
      <c r="AV43" s="1">
        <v>2.4900000000000002</v>
      </c>
      <c r="AW43" s="1">
        <v>22.890899999999998</v>
      </c>
      <c r="AX43" s="1">
        <v>51.9</v>
      </c>
      <c r="AY43" s="1">
        <v>0.38874999999999998</v>
      </c>
      <c r="AZ43" s="1">
        <v>52.4</v>
      </c>
      <c r="BA43" s="1">
        <v>6.4569000000000001E-2</v>
      </c>
      <c r="BB43" s="1">
        <v>7.5</v>
      </c>
      <c r="BC43" s="1">
        <v>0.14299999999999999</v>
      </c>
      <c r="BD43" s="1">
        <v>403.4</v>
      </c>
      <c r="BE43" s="1">
        <v>29.2</v>
      </c>
      <c r="BF43" s="1">
        <v>333.5</v>
      </c>
      <c r="BG43" s="1">
        <v>149.19999999999999</v>
      </c>
      <c r="BH43" s="1">
        <v>129.5</v>
      </c>
      <c r="BI43" s="1">
        <v>1300</v>
      </c>
      <c r="BJ43" s="1">
        <v>403.4</v>
      </c>
      <c r="BK43" s="1">
        <v>29.2</v>
      </c>
      <c r="BL43" s="1">
        <v>311.5</v>
      </c>
    </row>
    <row r="44" spans="1:64" s="1" customFormat="1" x14ac:dyDescent="0.2">
      <c r="A44" s="1" t="s">
        <v>37</v>
      </c>
      <c r="B44" s="1">
        <v>137</v>
      </c>
      <c r="C44" s="1">
        <v>1000</v>
      </c>
      <c r="D44" s="1">
        <v>1.1000000000000001</v>
      </c>
      <c r="E44" s="1">
        <v>25.7317</v>
      </c>
      <c r="F44" s="1">
        <v>58</v>
      </c>
      <c r="G44" s="1">
        <v>0.21754000000000001</v>
      </c>
      <c r="H44" s="1">
        <v>58.1</v>
      </c>
      <c r="I44" s="1">
        <v>4.0615999999999999E-2</v>
      </c>
      <c r="J44" s="1">
        <v>4.5</v>
      </c>
      <c r="K44" s="1">
        <v>7.6999999999999999E-2</v>
      </c>
      <c r="L44" s="1">
        <v>256.60000000000002</v>
      </c>
      <c r="M44" s="1">
        <v>11.2</v>
      </c>
      <c r="N44" s="1">
        <v>199.9</v>
      </c>
      <c r="O44" s="1">
        <v>105.6</v>
      </c>
      <c r="P44" s="1">
        <v>427.2</v>
      </c>
      <c r="Q44" s="1">
        <v>1547</v>
      </c>
      <c r="R44" s="1">
        <v>256.60000000000002</v>
      </c>
      <c r="S44" s="1">
        <v>11.2</v>
      </c>
      <c r="T44" s="1">
        <v>60.1</v>
      </c>
      <c r="AS44" s="1" t="s">
        <v>374</v>
      </c>
      <c r="AT44" s="1">
        <v>819</v>
      </c>
      <c r="AU44" s="1">
        <v>80186</v>
      </c>
      <c r="AV44" s="1">
        <v>1.33</v>
      </c>
      <c r="AW44" s="1">
        <v>13.1427</v>
      </c>
      <c r="AX44" s="1">
        <v>2.2000000000000002</v>
      </c>
      <c r="AY44" s="1">
        <v>1.9307300000000001</v>
      </c>
      <c r="AZ44" s="1">
        <v>3.3</v>
      </c>
      <c r="BA44" s="1">
        <v>0.18412000000000001</v>
      </c>
      <c r="BB44" s="1">
        <v>2.6</v>
      </c>
      <c r="BC44" s="1">
        <v>0.76500000000000001</v>
      </c>
      <c r="BD44" s="1">
        <v>1089.4000000000001</v>
      </c>
      <c r="BE44" s="1">
        <v>25.6</v>
      </c>
      <c r="BF44" s="1">
        <v>1091.8</v>
      </c>
      <c r="BG44" s="1">
        <v>22.4</v>
      </c>
      <c r="BH44" s="1">
        <v>1096.5</v>
      </c>
      <c r="BI44" s="1">
        <v>43.1</v>
      </c>
      <c r="BJ44" s="1">
        <v>1096.5</v>
      </c>
      <c r="BK44" s="1">
        <v>43.1</v>
      </c>
      <c r="BL44" s="1">
        <v>99.4</v>
      </c>
    </row>
    <row r="45" spans="1:64" s="1" customFormat="1" x14ac:dyDescent="0.2">
      <c r="A45" s="1" t="s">
        <v>38</v>
      </c>
      <c r="B45" s="1">
        <v>1122</v>
      </c>
      <c r="C45" s="1">
        <v>9670</v>
      </c>
      <c r="D45" s="1">
        <v>5.62</v>
      </c>
      <c r="E45" s="1">
        <v>19.612200000000001</v>
      </c>
      <c r="F45" s="1">
        <v>5</v>
      </c>
      <c r="G45" s="1">
        <v>0.31513000000000002</v>
      </c>
      <c r="H45" s="1">
        <v>5.4</v>
      </c>
      <c r="I45" s="1">
        <v>4.4844000000000002E-2</v>
      </c>
      <c r="J45" s="1">
        <v>2</v>
      </c>
      <c r="K45" s="1">
        <v>0.36899999999999999</v>
      </c>
      <c r="L45" s="1">
        <v>282.8</v>
      </c>
      <c r="M45" s="1">
        <v>5.5</v>
      </c>
      <c r="N45" s="1">
        <v>278.10000000000002</v>
      </c>
      <c r="O45" s="1">
        <v>13</v>
      </c>
      <c r="P45" s="1">
        <v>239.3</v>
      </c>
      <c r="Q45" s="1">
        <v>114.8</v>
      </c>
      <c r="R45" s="1">
        <v>282.8</v>
      </c>
      <c r="S45" s="1">
        <v>5.5</v>
      </c>
      <c r="T45" s="1">
        <v>118.2</v>
      </c>
      <c r="AS45" s="1" t="s">
        <v>375</v>
      </c>
      <c r="AT45" s="1">
        <v>1282</v>
      </c>
      <c r="AU45" s="1">
        <v>43177</v>
      </c>
      <c r="AV45" s="1">
        <v>5.2</v>
      </c>
      <c r="AW45" s="1">
        <v>17.0641</v>
      </c>
      <c r="AX45" s="1">
        <v>2.5</v>
      </c>
      <c r="AY45" s="1">
        <v>0.73463000000000001</v>
      </c>
      <c r="AZ45" s="1">
        <v>3.4</v>
      </c>
      <c r="BA45" s="1">
        <v>9.0958999999999998E-2</v>
      </c>
      <c r="BB45" s="1">
        <v>2.2000000000000002</v>
      </c>
      <c r="BC45" s="1">
        <v>0.66200000000000003</v>
      </c>
      <c r="BD45" s="1">
        <v>561.20000000000005</v>
      </c>
      <c r="BE45" s="1">
        <v>12</v>
      </c>
      <c r="BF45" s="1">
        <v>559.29999999999995</v>
      </c>
      <c r="BG45" s="1">
        <v>14.5</v>
      </c>
      <c r="BH45" s="1">
        <v>551.4</v>
      </c>
      <c r="BI45" s="1">
        <v>55.1</v>
      </c>
      <c r="BJ45" s="1">
        <v>561.20000000000005</v>
      </c>
      <c r="BK45" s="1">
        <v>12</v>
      </c>
      <c r="BL45" s="1">
        <v>101.8</v>
      </c>
    </row>
    <row r="46" spans="1:64" s="1" customFormat="1" x14ac:dyDescent="0.2">
      <c r="A46" s="1" t="s">
        <v>39</v>
      </c>
      <c r="B46" s="1">
        <v>110</v>
      </c>
      <c r="C46" s="1">
        <v>9139</v>
      </c>
      <c r="D46" s="1">
        <v>1.56</v>
      </c>
      <c r="E46" s="1">
        <v>16.9453</v>
      </c>
      <c r="F46" s="1">
        <v>5.4</v>
      </c>
      <c r="G46" s="1">
        <v>0.77819000000000005</v>
      </c>
      <c r="H46" s="1">
        <v>7</v>
      </c>
      <c r="I46" s="1">
        <v>9.5682000000000003E-2</v>
      </c>
      <c r="J46" s="1">
        <v>4.4000000000000004</v>
      </c>
      <c r="K46" s="1">
        <v>0.628</v>
      </c>
      <c r="L46" s="1">
        <v>589.1</v>
      </c>
      <c r="M46" s="1">
        <v>24.7</v>
      </c>
      <c r="N46" s="1">
        <v>584.4</v>
      </c>
      <c r="O46" s="1">
        <v>31.1</v>
      </c>
      <c r="P46" s="1">
        <v>566.6</v>
      </c>
      <c r="Q46" s="1">
        <v>118.6</v>
      </c>
      <c r="R46" s="1">
        <v>589.1</v>
      </c>
      <c r="S46" s="1">
        <v>24.7</v>
      </c>
      <c r="T46" s="1">
        <v>104</v>
      </c>
      <c r="AS46" s="1" t="s">
        <v>376</v>
      </c>
      <c r="AT46" s="1">
        <v>1154</v>
      </c>
      <c r="AU46" s="1">
        <v>76173</v>
      </c>
      <c r="AV46" s="1">
        <v>5.18</v>
      </c>
      <c r="AW46" s="1">
        <v>16.944500000000001</v>
      </c>
      <c r="AX46" s="1">
        <v>2.7</v>
      </c>
      <c r="AY46" s="1">
        <v>0.72907999999999995</v>
      </c>
      <c r="AZ46" s="1">
        <v>3.7</v>
      </c>
      <c r="BA46" s="1">
        <v>8.9639999999999997E-2</v>
      </c>
      <c r="BB46" s="1">
        <v>2.6</v>
      </c>
      <c r="BC46" s="1">
        <v>0.69899999999999995</v>
      </c>
      <c r="BD46" s="1">
        <v>553.4</v>
      </c>
      <c r="BE46" s="1">
        <v>13.8</v>
      </c>
      <c r="BF46" s="1">
        <v>556</v>
      </c>
      <c r="BG46" s="1">
        <v>16</v>
      </c>
      <c r="BH46" s="1">
        <v>566.70000000000005</v>
      </c>
      <c r="BI46" s="1">
        <v>58</v>
      </c>
      <c r="BJ46" s="1">
        <v>553.4</v>
      </c>
      <c r="BK46" s="1">
        <v>13.8</v>
      </c>
      <c r="BL46" s="1">
        <v>97.7</v>
      </c>
    </row>
    <row r="47" spans="1:64" s="1" customFormat="1" x14ac:dyDescent="0.2">
      <c r="A47" s="1" t="s">
        <v>40</v>
      </c>
      <c r="B47" s="1">
        <v>1372</v>
      </c>
      <c r="C47" s="1">
        <v>48941</v>
      </c>
      <c r="D47" s="1">
        <v>42.45</v>
      </c>
      <c r="E47" s="1">
        <v>16.014800000000001</v>
      </c>
      <c r="F47" s="1">
        <v>12</v>
      </c>
      <c r="G47" s="1">
        <v>0.38264999999999999</v>
      </c>
      <c r="H47" s="1">
        <v>12.4</v>
      </c>
      <c r="I47" s="1">
        <v>4.4464999999999998E-2</v>
      </c>
      <c r="J47" s="1">
        <v>3.1</v>
      </c>
      <c r="K47" s="1">
        <v>0.249</v>
      </c>
      <c r="L47" s="1">
        <v>280.39999999999998</v>
      </c>
      <c r="M47" s="1">
        <v>8.5</v>
      </c>
      <c r="N47" s="1">
        <v>329</v>
      </c>
      <c r="O47" s="1">
        <v>34.799999999999997</v>
      </c>
      <c r="P47" s="1">
        <v>688.3</v>
      </c>
      <c r="Q47" s="1">
        <v>256.2</v>
      </c>
      <c r="R47" s="1">
        <v>280.39999999999998</v>
      </c>
      <c r="S47" s="1">
        <v>8.5</v>
      </c>
      <c r="T47" s="1">
        <v>40.700000000000003</v>
      </c>
      <c r="AS47" s="1" t="s">
        <v>377</v>
      </c>
      <c r="AT47" s="1">
        <v>815</v>
      </c>
      <c r="AU47" s="1">
        <v>70317</v>
      </c>
      <c r="AV47" s="1">
        <v>1.42</v>
      </c>
      <c r="AW47" s="1">
        <v>13.123100000000001</v>
      </c>
      <c r="AX47" s="1">
        <v>2.2000000000000002</v>
      </c>
      <c r="AY47" s="1">
        <v>1.93845</v>
      </c>
      <c r="AZ47" s="1">
        <v>3.8</v>
      </c>
      <c r="BA47" s="1">
        <v>0.184581</v>
      </c>
      <c r="BB47" s="1">
        <v>3</v>
      </c>
      <c r="BC47" s="1">
        <v>0.80400000000000005</v>
      </c>
      <c r="BD47" s="1">
        <v>1091.9000000000001</v>
      </c>
      <c r="BE47" s="1">
        <v>30.4</v>
      </c>
      <c r="BF47" s="1">
        <v>1094.5</v>
      </c>
      <c r="BG47" s="1">
        <v>25.2</v>
      </c>
      <c r="BH47" s="1">
        <v>1099.5</v>
      </c>
      <c r="BI47" s="1">
        <v>44.8</v>
      </c>
      <c r="BJ47" s="1">
        <v>1099.5</v>
      </c>
      <c r="BK47" s="1">
        <v>44.8</v>
      </c>
      <c r="BL47" s="1">
        <v>99.3</v>
      </c>
    </row>
    <row r="48" spans="1:64" s="1" customFormat="1" x14ac:dyDescent="0.2">
      <c r="A48" s="1" t="s">
        <v>41</v>
      </c>
      <c r="B48" s="1">
        <v>474</v>
      </c>
      <c r="C48" s="1">
        <v>19000</v>
      </c>
      <c r="D48" s="1">
        <v>1.77</v>
      </c>
      <c r="E48" s="1">
        <v>16.879000000000001</v>
      </c>
      <c r="F48" s="1">
        <v>4.3</v>
      </c>
      <c r="G48" s="1">
        <v>0.76465000000000005</v>
      </c>
      <c r="H48" s="1">
        <v>5.7</v>
      </c>
      <c r="I48" s="1">
        <v>9.3648999999999996E-2</v>
      </c>
      <c r="J48" s="1">
        <v>3.8</v>
      </c>
      <c r="K48" s="1">
        <v>0.65800000000000003</v>
      </c>
      <c r="L48" s="1">
        <v>577.1</v>
      </c>
      <c r="M48" s="1">
        <v>20.8</v>
      </c>
      <c r="N48" s="1">
        <v>576.70000000000005</v>
      </c>
      <c r="O48" s="1">
        <v>25.2</v>
      </c>
      <c r="P48" s="1">
        <v>575.1</v>
      </c>
      <c r="Q48" s="1">
        <v>93.8</v>
      </c>
      <c r="R48" s="1">
        <v>577.1</v>
      </c>
      <c r="S48" s="1">
        <v>20.8</v>
      </c>
      <c r="T48" s="1">
        <v>100.3</v>
      </c>
      <c r="AS48" s="1" t="s">
        <v>378</v>
      </c>
      <c r="AT48" s="1">
        <v>227</v>
      </c>
      <c r="AU48" s="1">
        <v>43647</v>
      </c>
      <c r="AV48" s="1">
        <v>2.56</v>
      </c>
      <c r="AW48" s="1">
        <v>13.143800000000001</v>
      </c>
      <c r="AX48" s="1">
        <v>3</v>
      </c>
      <c r="AY48" s="1">
        <v>1.96977</v>
      </c>
      <c r="AZ48" s="1">
        <v>4.5999999999999996</v>
      </c>
      <c r="BA48" s="1">
        <v>0.187857</v>
      </c>
      <c r="BB48" s="1">
        <v>3.5</v>
      </c>
      <c r="BC48" s="1">
        <v>0.754</v>
      </c>
      <c r="BD48" s="1">
        <v>1109.8</v>
      </c>
      <c r="BE48" s="1">
        <v>35.299999999999997</v>
      </c>
      <c r="BF48" s="1">
        <v>1105.2</v>
      </c>
      <c r="BG48" s="1">
        <v>30.9</v>
      </c>
      <c r="BH48" s="1">
        <v>1096.3</v>
      </c>
      <c r="BI48" s="1">
        <v>60.3</v>
      </c>
      <c r="BJ48" s="1">
        <v>1096.3</v>
      </c>
      <c r="BK48" s="1">
        <v>60.3</v>
      </c>
      <c r="BL48" s="1">
        <v>101.2</v>
      </c>
    </row>
    <row r="49" spans="1:64" s="1" customFormat="1" x14ac:dyDescent="0.2">
      <c r="A49" s="1" t="s">
        <v>42</v>
      </c>
      <c r="B49" s="1">
        <v>1685</v>
      </c>
      <c r="C49" s="1">
        <v>69453</v>
      </c>
      <c r="D49" s="1">
        <v>17.239999999999998</v>
      </c>
      <c r="E49" s="1">
        <v>18.8536</v>
      </c>
      <c r="F49" s="1">
        <v>2.1</v>
      </c>
      <c r="G49" s="1">
        <v>0.35818</v>
      </c>
      <c r="H49" s="1">
        <v>3.4</v>
      </c>
      <c r="I49" s="1">
        <v>4.8999000000000001E-2</v>
      </c>
      <c r="J49" s="1">
        <v>2.6</v>
      </c>
      <c r="K49" s="1">
        <v>0.77800000000000002</v>
      </c>
      <c r="L49" s="1">
        <v>308.39999999999998</v>
      </c>
      <c r="M49" s="1">
        <v>7.9</v>
      </c>
      <c r="N49" s="1">
        <v>310.89999999999998</v>
      </c>
      <c r="O49" s="1">
        <v>9.1</v>
      </c>
      <c r="P49" s="1">
        <v>329.5</v>
      </c>
      <c r="Q49" s="1">
        <v>48.3</v>
      </c>
      <c r="R49" s="1">
        <v>308.39999999999998</v>
      </c>
      <c r="S49" s="1">
        <v>7.9</v>
      </c>
      <c r="T49" s="1">
        <v>93.6</v>
      </c>
      <c r="AS49" s="1" t="s">
        <v>379</v>
      </c>
      <c r="AT49" s="1">
        <v>1270</v>
      </c>
      <c r="AU49" s="1">
        <v>29493</v>
      </c>
      <c r="AV49" s="1">
        <v>5.23</v>
      </c>
      <c r="AW49" s="1">
        <v>17.2804</v>
      </c>
      <c r="AX49" s="1">
        <v>2.2000000000000002</v>
      </c>
      <c r="AY49" s="1">
        <v>0.72097999999999995</v>
      </c>
      <c r="AZ49" s="1">
        <v>3.1</v>
      </c>
      <c r="BA49" s="1">
        <v>9.0400999999999995E-2</v>
      </c>
      <c r="BB49" s="1">
        <v>2.1</v>
      </c>
      <c r="BC49" s="1">
        <v>0.69199999999999995</v>
      </c>
      <c r="BD49" s="1">
        <v>557.9</v>
      </c>
      <c r="BE49" s="1">
        <v>11.4</v>
      </c>
      <c r="BF49" s="1">
        <v>551.20000000000005</v>
      </c>
      <c r="BG49" s="1">
        <v>13.2</v>
      </c>
      <c r="BH49" s="1">
        <v>523.79999999999995</v>
      </c>
      <c r="BI49" s="1">
        <v>49</v>
      </c>
      <c r="BJ49" s="1">
        <v>557.9</v>
      </c>
      <c r="BK49" s="1">
        <v>11.4</v>
      </c>
      <c r="BL49" s="1">
        <v>106.5</v>
      </c>
    </row>
    <row r="50" spans="1:64" s="1" customFormat="1" x14ac:dyDescent="0.2">
      <c r="A50" s="1" t="s">
        <v>43</v>
      </c>
      <c r="B50" s="1">
        <v>1787</v>
      </c>
      <c r="C50" s="1">
        <v>31571</v>
      </c>
      <c r="D50" s="1">
        <v>153.72999999999999</v>
      </c>
      <c r="E50" s="1">
        <v>19.146999999999998</v>
      </c>
      <c r="F50" s="1">
        <v>2.8</v>
      </c>
      <c r="G50" s="1">
        <v>0.32593</v>
      </c>
      <c r="H50" s="1">
        <v>3.7</v>
      </c>
      <c r="I50" s="1">
        <v>4.5281000000000002E-2</v>
      </c>
      <c r="J50" s="1">
        <v>2.5</v>
      </c>
      <c r="K50" s="1">
        <v>0.65700000000000003</v>
      </c>
      <c r="L50" s="1">
        <v>285.5</v>
      </c>
      <c r="M50" s="1">
        <v>6.9</v>
      </c>
      <c r="N50" s="1">
        <v>286.5</v>
      </c>
      <c r="O50" s="1">
        <v>9.3000000000000007</v>
      </c>
      <c r="P50" s="1">
        <v>294.3</v>
      </c>
      <c r="Q50" s="1">
        <v>64.5</v>
      </c>
      <c r="R50" s="1">
        <v>285.5</v>
      </c>
      <c r="S50" s="1">
        <v>6.9</v>
      </c>
      <c r="T50" s="1">
        <v>97</v>
      </c>
      <c r="AS50" s="1" t="s">
        <v>380</v>
      </c>
      <c r="AT50" s="1">
        <v>229</v>
      </c>
      <c r="AU50" s="1">
        <v>22229</v>
      </c>
      <c r="AV50" s="1">
        <v>1.98</v>
      </c>
      <c r="AW50" s="1">
        <v>13.045999999999999</v>
      </c>
      <c r="AX50" s="1">
        <v>2.5</v>
      </c>
      <c r="AY50" s="1">
        <v>1.9889699999999999</v>
      </c>
      <c r="AZ50" s="1">
        <v>5.2</v>
      </c>
      <c r="BA50" s="1">
        <v>0.188279</v>
      </c>
      <c r="BB50" s="1">
        <v>4.5</v>
      </c>
      <c r="BC50" s="1">
        <v>0.875</v>
      </c>
      <c r="BD50" s="1">
        <v>1112</v>
      </c>
      <c r="BE50" s="1">
        <v>46.4</v>
      </c>
      <c r="BF50" s="1">
        <v>1111.8</v>
      </c>
      <c r="BG50" s="1">
        <v>35.1</v>
      </c>
      <c r="BH50" s="1">
        <v>1111.2</v>
      </c>
      <c r="BI50" s="1">
        <v>50.2</v>
      </c>
      <c r="BJ50" s="1">
        <v>1111.2</v>
      </c>
      <c r="BK50" s="1">
        <v>50.2</v>
      </c>
      <c r="BL50" s="1">
        <v>100.1</v>
      </c>
    </row>
    <row r="51" spans="1:64" s="1" customFormat="1" x14ac:dyDescent="0.2">
      <c r="A51" s="1" t="s">
        <v>44</v>
      </c>
      <c r="B51" s="1">
        <v>394</v>
      </c>
      <c r="C51" s="1">
        <v>356473</v>
      </c>
      <c r="D51" s="1">
        <v>2.65</v>
      </c>
      <c r="E51" s="1">
        <v>8.0638000000000005</v>
      </c>
      <c r="F51" s="1">
        <v>2.2000000000000002</v>
      </c>
      <c r="G51" s="1">
        <v>4.9654199999999999</v>
      </c>
      <c r="H51" s="1">
        <v>4.8</v>
      </c>
      <c r="I51" s="1">
        <v>0.29052899999999998</v>
      </c>
      <c r="J51" s="1">
        <v>4.3</v>
      </c>
      <c r="K51" s="1">
        <v>0.89100000000000001</v>
      </c>
      <c r="L51" s="1">
        <v>1644.2</v>
      </c>
      <c r="M51" s="1">
        <v>62.2</v>
      </c>
      <c r="N51" s="1">
        <v>1813.5</v>
      </c>
      <c r="O51" s="1">
        <v>40.700000000000003</v>
      </c>
      <c r="P51" s="1">
        <v>2013.9</v>
      </c>
      <c r="Q51" s="1">
        <v>38.700000000000003</v>
      </c>
      <c r="R51" s="1">
        <v>2013.9</v>
      </c>
      <c r="S51" s="1">
        <v>38.700000000000003</v>
      </c>
      <c r="T51" s="1">
        <v>81.599999999999994</v>
      </c>
      <c r="AS51" s="1" t="s">
        <v>381</v>
      </c>
      <c r="AT51" s="1">
        <v>299</v>
      </c>
      <c r="AU51" s="1">
        <v>162187</v>
      </c>
      <c r="AV51" s="1">
        <v>1.54</v>
      </c>
      <c r="AW51" s="1">
        <v>18.062999999999999</v>
      </c>
      <c r="AX51" s="1">
        <v>4.5</v>
      </c>
      <c r="AY51" s="1">
        <v>0.51390000000000002</v>
      </c>
      <c r="AZ51" s="1">
        <v>6.1</v>
      </c>
      <c r="BA51" s="1">
        <v>6.7353999999999997E-2</v>
      </c>
      <c r="BB51" s="1">
        <v>4.0999999999999996</v>
      </c>
      <c r="BC51" s="1">
        <v>0.66700000000000004</v>
      </c>
      <c r="BD51" s="1">
        <v>420.2</v>
      </c>
      <c r="BE51" s="1">
        <v>16.5</v>
      </c>
      <c r="BF51" s="1">
        <v>421.1</v>
      </c>
      <c r="BG51" s="1">
        <v>21</v>
      </c>
      <c r="BH51" s="1">
        <v>425.8</v>
      </c>
      <c r="BI51" s="1">
        <v>101</v>
      </c>
      <c r="BJ51" s="1">
        <v>420.2</v>
      </c>
      <c r="BK51" s="1">
        <v>16.5</v>
      </c>
      <c r="BL51" s="1">
        <v>98.7</v>
      </c>
    </row>
    <row r="52" spans="1:64" s="1" customFormat="1" x14ac:dyDescent="0.2">
      <c r="A52" s="1" t="s">
        <v>45</v>
      </c>
      <c r="B52" s="1">
        <v>357</v>
      </c>
      <c r="C52" s="1">
        <v>6588</v>
      </c>
      <c r="D52" s="1">
        <v>2.08</v>
      </c>
      <c r="E52" s="1">
        <v>17.1843</v>
      </c>
      <c r="F52" s="1">
        <v>6.5</v>
      </c>
      <c r="G52" s="1">
        <v>0.70347999999999999</v>
      </c>
      <c r="H52" s="1">
        <v>7.2</v>
      </c>
      <c r="I52" s="1">
        <v>8.7716000000000002E-2</v>
      </c>
      <c r="J52" s="1">
        <v>3.1</v>
      </c>
      <c r="K52" s="1">
        <v>0.42599999999999999</v>
      </c>
      <c r="L52" s="1">
        <v>542</v>
      </c>
      <c r="M52" s="1">
        <v>15.9</v>
      </c>
      <c r="N52" s="1">
        <v>540.9</v>
      </c>
      <c r="O52" s="1">
        <v>30.1</v>
      </c>
      <c r="P52" s="1">
        <v>536</v>
      </c>
      <c r="Q52" s="1">
        <v>142.30000000000001</v>
      </c>
      <c r="R52" s="1">
        <v>542</v>
      </c>
      <c r="S52" s="1">
        <v>15.9</v>
      </c>
      <c r="T52" s="1">
        <v>101.1</v>
      </c>
      <c r="AS52" s="1" t="s">
        <v>382</v>
      </c>
      <c r="AT52" s="1">
        <v>549</v>
      </c>
      <c r="AU52" s="1">
        <v>29534</v>
      </c>
      <c r="AV52" s="1">
        <v>1.98</v>
      </c>
      <c r="AW52" s="1">
        <v>13.012700000000001</v>
      </c>
      <c r="AX52" s="1">
        <v>2.2000000000000002</v>
      </c>
      <c r="AY52" s="1">
        <v>1.9613799999999999</v>
      </c>
      <c r="AZ52" s="1">
        <v>3.6</v>
      </c>
      <c r="BA52" s="1">
        <v>0.185193</v>
      </c>
      <c r="BB52" s="1">
        <v>2.8</v>
      </c>
      <c r="BC52" s="1">
        <v>0.79100000000000004</v>
      </c>
      <c r="BD52" s="1">
        <v>1095.3</v>
      </c>
      <c r="BE52" s="1">
        <v>28.3</v>
      </c>
      <c r="BF52" s="1">
        <v>1102.4000000000001</v>
      </c>
      <c r="BG52" s="1">
        <v>23.9</v>
      </c>
      <c r="BH52" s="1">
        <v>1116.4000000000001</v>
      </c>
      <c r="BI52" s="1">
        <v>43.4</v>
      </c>
      <c r="BJ52" s="1">
        <v>1116.4000000000001</v>
      </c>
      <c r="BK52" s="1">
        <v>43.4</v>
      </c>
      <c r="BL52" s="1">
        <v>98.1</v>
      </c>
    </row>
    <row r="53" spans="1:64" s="1" customFormat="1" x14ac:dyDescent="0.2">
      <c r="A53" s="1" t="s">
        <v>46</v>
      </c>
      <c r="B53" s="1">
        <v>1581</v>
      </c>
      <c r="C53" s="1">
        <v>73077</v>
      </c>
      <c r="D53" s="1">
        <v>16.72</v>
      </c>
      <c r="E53" s="1">
        <v>19.094899999999999</v>
      </c>
      <c r="F53" s="1">
        <v>3</v>
      </c>
      <c r="G53" s="1">
        <v>0.31594</v>
      </c>
      <c r="H53" s="1">
        <v>3.8</v>
      </c>
      <c r="I53" s="1">
        <v>4.3774E-2</v>
      </c>
      <c r="J53" s="1">
        <v>2.4</v>
      </c>
      <c r="K53" s="1">
        <v>0.621</v>
      </c>
      <c r="L53" s="1">
        <v>276.2</v>
      </c>
      <c r="M53" s="1">
        <v>6.4</v>
      </c>
      <c r="N53" s="1">
        <v>278.8</v>
      </c>
      <c r="O53" s="1">
        <v>9.3000000000000007</v>
      </c>
      <c r="P53" s="1">
        <v>300.60000000000002</v>
      </c>
      <c r="Q53" s="1">
        <v>68.5</v>
      </c>
      <c r="R53" s="1">
        <v>276.2</v>
      </c>
      <c r="S53" s="1">
        <v>6.4</v>
      </c>
      <c r="T53" s="1">
        <v>91.9</v>
      </c>
      <c r="AS53" s="1" t="s">
        <v>383</v>
      </c>
      <c r="AT53" s="1">
        <v>1314</v>
      </c>
      <c r="AU53" s="1">
        <v>22350</v>
      </c>
      <c r="AV53" s="1">
        <v>5.21</v>
      </c>
      <c r="AW53" s="1">
        <v>17.048500000000001</v>
      </c>
      <c r="AX53" s="1">
        <v>2.1</v>
      </c>
      <c r="AY53" s="1">
        <v>0.72668999999999995</v>
      </c>
      <c r="AZ53" s="1">
        <v>2.8</v>
      </c>
      <c r="BA53" s="1">
        <v>8.9893000000000001E-2</v>
      </c>
      <c r="BB53" s="1">
        <v>2</v>
      </c>
      <c r="BC53" s="1">
        <v>0.69</v>
      </c>
      <c r="BD53" s="1">
        <v>554.9</v>
      </c>
      <c r="BE53" s="1">
        <v>10.4</v>
      </c>
      <c r="BF53" s="1">
        <v>554.6</v>
      </c>
      <c r="BG53" s="1">
        <v>12.1</v>
      </c>
      <c r="BH53" s="1">
        <v>553.4</v>
      </c>
      <c r="BI53" s="1">
        <v>44.7</v>
      </c>
      <c r="BJ53" s="1">
        <v>554.9</v>
      </c>
      <c r="BK53" s="1">
        <v>10.4</v>
      </c>
      <c r="BL53" s="1">
        <v>100.3</v>
      </c>
    </row>
    <row r="54" spans="1:64" s="1" customFormat="1" x14ac:dyDescent="0.2">
      <c r="A54" s="1" t="s">
        <v>47</v>
      </c>
      <c r="B54" s="1">
        <v>1473</v>
      </c>
      <c r="C54" s="1">
        <v>22675</v>
      </c>
      <c r="D54" s="1">
        <v>9.8699999999999992</v>
      </c>
      <c r="E54" s="1">
        <v>18.923100000000002</v>
      </c>
      <c r="F54" s="1">
        <v>3.1</v>
      </c>
      <c r="G54" s="1">
        <v>0.38490000000000002</v>
      </c>
      <c r="H54" s="1">
        <v>3.8</v>
      </c>
      <c r="I54" s="1">
        <v>5.2847999999999999E-2</v>
      </c>
      <c r="J54" s="1">
        <v>2.2999999999999998</v>
      </c>
      <c r="K54" s="1">
        <v>0.59299999999999997</v>
      </c>
      <c r="L54" s="1">
        <v>332</v>
      </c>
      <c r="M54" s="1">
        <v>7.4</v>
      </c>
      <c r="N54" s="1">
        <v>330.6</v>
      </c>
      <c r="O54" s="1">
        <v>10.8</v>
      </c>
      <c r="P54" s="1">
        <v>321.2</v>
      </c>
      <c r="Q54" s="1">
        <v>70.099999999999994</v>
      </c>
      <c r="R54" s="1">
        <v>332</v>
      </c>
      <c r="S54" s="1">
        <v>7.4</v>
      </c>
      <c r="T54" s="1">
        <v>103.4</v>
      </c>
      <c r="AS54" s="1" t="s">
        <v>384</v>
      </c>
      <c r="AT54" s="1">
        <v>430</v>
      </c>
      <c r="AU54" s="1">
        <v>62389</v>
      </c>
      <c r="AV54" s="1">
        <v>1.74</v>
      </c>
      <c r="AW54" s="1">
        <v>13.136699999999999</v>
      </c>
      <c r="AX54" s="1">
        <v>1.9</v>
      </c>
      <c r="AY54" s="1">
        <v>1.9538899999999999</v>
      </c>
      <c r="AZ54" s="1">
        <v>3</v>
      </c>
      <c r="BA54" s="1">
        <v>0.18624399999999999</v>
      </c>
      <c r="BB54" s="1">
        <v>2.2999999999999998</v>
      </c>
      <c r="BC54" s="1">
        <v>0.76700000000000002</v>
      </c>
      <c r="BD54" s="1">
        <v>1101</v>
      </c>
      <c r="BE54" s="1">
        <v>23.5</v>
      </c>
      <c r="BF54" s="1">
        <v>1099.8</v>
      </c>
      <c r="BG54" s="1">
        <v>20.3</v>
      </c>
      <c r="BH54" s="1">
        <v>1097.4000000000001</v>
      </c>
      <c r="BI54" s="1">
        <v>38.799999999999997</v>
      </c>
      <c r="BJ54" s="1">
        <v>1097.4000000000001</v>
      </c>
      <c r="BK54" s="1">
        <v>38.799999999999997</v>
      </c>
      <c r="BL54" s="1">
        <v>100.3</v>
      </c>
    </row>
    <row r="55" spans="1:64" s="1" customFormat="1" x14ac:dyDescent="0.2">
      <c r="A55" s="1" t="s">
        <v>48</v>
      </c>
      <c r="B55" s="1">
        <v>1057</v>
      </c>
      <c r="C55" s="1">
        <v>54138</v>
      </c>
      <c r="D55" s="1">
        <v>52.44</v>
      </c>
      <c r="E55" s="1">
        <v>19.047699999999999</v>
      </c>
      <c r="F55" s="1">
        <v>2.7</v>
      </c>
      <c r="G55" s="1">
        <v>0.33079999999999998</v>
      </c>
      <c r="H55" s="1">
        <v>3.5</v>
      </c>
      <c r="I55" s="1">
        <v>4.5719999999999997E-2</v>
      </c>
      <c r="J55" s="1">
        <v>2.2000000000000002</v>
      </c>
      <c r="K55" s="1">
        <v>0.63600000000000001</v>
      </c>
      <c r="L55" s="1">
        <v>288.2</v>
      </c>
      <c r="M55" s="1">
        <v>6.3</v>
      </c>
      <c r="N55" s="1">
        <v>290.2</v>
      </c>
      <c r="O55" s="1">
        <v>8.9</v>
      </c>
      <c r="P55" s="1">
        <v>306.2</v>
      </c>
      <c r="Q55" s="1">
        <v>62</v>
      </c>
      <c r="R55" s="1">
        <v>288.2</v>
      </c>
      <c r="S55" s="1">
        <v>6.3</v>
      </c>
      <c r="T55" s="1">
        <v>94.1</v>
      </c>
      <c r="AS55" s="1" t="s">
        <v>385</v>
      </c>
      <c r="AT55" s="1">
        <v>1278</v>
      </c>
      <c r="AU55" s="1">
        <v>834070</v>
      </c>
      <c r="AV55" s="1">
        <v>5.26</v>
      </c>
      <c r="AW55" s="1">
        <v>17.043099999999999</v>
      </c>
      <c r="AX55" s="1">
        <v>1.9</v>
      </c>
      <c r="AY55" s="1">
        <v>0.72585</v>
      </c>
      <c r="AZ55" s="1">
        <v>3.2</v>
      </c>
      <c r="BA55" s="1">
        <v>8.9761999999999995E-2</v>
      </c>
      <c r="BB55" s="1">
        <v>2.5</v>
      </c>
      <c r="BC55" s="1">
        <v>0.78700000000000003</v>
      </c>
      <c r="BD55" s="1">
        <v>554.1</v>
      </c>
      <c r="BE55" s="1">
        <v>13.2</v>
      </c>
      <c r="BF55" s="1">
        <v>554.1</v>
      </c>
      <c r="BG55" s="1">
        <v>13.5</v>
      </c>
      <c r="BH55" s="1">
        <v>554</v>
      </c>
      <c r="BI55" s="1">
        <v>42.5</v>
      </c>
      <c r="BJ55" s="1">
        <v>554.1</v>
      </c>
      <c r="BK55" s="1">
        <v>13.2</v>
      </c>
      <c r="BL55" s="1">
        <v>100</v>
      </c>
    </row>
    <row r="56" spans="1:64" s="1" customFormat="1" x14ac:dyDescent="0.2">
      <c r="A56" s="1" t="s">
        <v>49</v>
      </c>
      <c r="B56" s="1">
        <v>258</v>
      </c>
      <c r="C56" s="1">
        <v>22020</v>
      </c>
      <c r="D56" s="1">
        <v>0.72</v>
      </c>
      <c r="E56" s="1">
        <v>18.773399999999999</v>
      </c>
      <c r="F56" s="1">
        <v>5.0999999999999996</v>
      </c>
      <c r="G56" s="1">
        <v>0.31738</v>
      </c>
      <c r="H56" s="1">
        <v>6.7</v>
      </c>
      <c r="I56" s="1">
        <v>4.3234000000000002E-2</v>
      </c>
      <c r="J56" s="1">
        <v>4.3</v>
      </c>
      <c r="K56" s="1">
        <v>0.64400000000000002</v>
      </c>
      <c r="L56" s="1">
        <v>272.8</v>
      </c>
      <c r="M56" s="1">
        <v>11.5</v>
      </c>
      <c r="N56" s="1">
        <v>279.89999999999998</v>
      </c>
      <c r="O56" s="1">
        <v>16.3</v>
      </c>
      <c r="P56" s="1">
        <v>339.2</v>
      </c>
      <c r="Q56" s="1">
        <v>115.5</v>
      </c>
      <c r="R56" s="1">
        <v>272.8</v>
      </c>
      <c r="S56" s="1">
        <v>11.5</v>
      </c>
      <c r="T56" s="1">
        <v>80.400000000000006</v>
      </c>
      <c r="AS56" s="1" t="s">
        <v>386</v>
      </c>
      <c r="AT56" s="1">
        <v>274</v>
      </c>
      <c r="AU56" s="1">
        <v>16322</v>
      </c>
      <c r="AV56" s="1">
        <v>1.44</v>
      </c>
      <c r="AW56" s="1">
        <v>13.1562</v>
      </c>
      <c r="AX56" s="1">
        <v>3.1</v>
      </c>
      <c r="AY56" s="1">
        <v>1.92909</v>
      </c>
      <c r="AZ56" s="1">
        <v>5.6</v>
      </c>
      <c r="BA56" s="1">
        <v>0.18415300000000001</v>
      </c>
      <c r="BB56" s="1">
        <v>4.7</v>
      </c>
      <c r="BC56" s="1">
        <v>0.83399999999999996</v>
      </c>
      <c r="BD56" s="1">
        <v>1089.5999999999999</v>
      </c>
      <c r="BE56" s="1">
        <v>46.9</v>
      </c>
      <c r="BF56" s="1">
        <v>1091.2</v>
      </c>
      <c r="BG56" s="1">
        <v>37.5</v>
      </c>
      <c r="BH56" s="1">
        <v>1094.4000000000001</v>
      </c>
      <c r="BI56" s="1">
        <v>61.9</v>
      </c>
      <c r="BJ56" s="1">
        <v>1094.4000000000001</v>
      </c>
      <c r="BK56" s="1">
        <v>61.9</v>
      </c>
      <c r="BL56" s="1">
        <v>99.6</v>
      </c>
    </row>
    <row r="57" spans="1:64" s="1" customFormat="1" x14ac:dyDescent="0.2">
      <c r="A57" s="1" t="s">
        <v>50</v>
      </c>
      <c r="B57" s="1">
        <v>2249</v>
      </c>
      <c r="C57" s="1">
        <v>87235</v>
      </c>
      <c r="D57" s="1">
        <v>5.92</v>
      </c>
      <c r="E57" s="1">
        <v>18.764700000000001</v>
      </c>
      <c r="F57" s="1">
        <v>2.4</v>
      </c>
      <c r="G57" s="1">
        <v>0.34697</v>
      </c>
      <c r="H57" s="1">
        <v>3.2</v>
      </c>
      <c r="I57" s="1">
        <v>4.7241999999999999E-2</v>
      </c>
      <c r="J57" s="1">
        <v>2.2000000000000002</v>
      </c>
      <c r="K57" s="1">
        <v>0.66900000000000004</v>
      </c>
      <c r="L57" s="1">
        <v>297.60000000000002</v>
      </c>
      <c r="M57" s="1">
        <v>6.3</v>
      </c>
      <c r="N57" s="1">
        <v>302.39999999999998</v>
      </c>
      <c r="O57" s="1">
        <v>8.4</v>
      </c>
      <c r="P57" s="1">
        <v>340.2</v>
      </c>
      <c r="Q57" s="1">
        <v>54.1</v>
      </c>
      <c r="R57" s="1">
        <v>297.60000000000002</v>
      </c>
      <c r="S57" s="1">
        <v>6.3</v>
      </c>
      <c r="T57" s="1">
        <v>87.5</v>
      </c>
      <c r="AS57" s="1" t="s">
        <v>387</v>
      </c>
      <c r="AT57" s="1">
        <v>1261</v>
      </c>
      <c r="AU57" s="1">
        <v>391559</v>
      </c>
      <c r="AV57" s="1">
        <v>5.3</v>
      </c>
      <c r="AW57" s="1">
        <v>17.043900000000001</v>
      </c>
      <c r="AX57" s="1">
        <v>2.2000000000000002</v>
      </c>
      <c r="AY57" s="1">
        <v>0.73158999999999996</v>
      </c>
      <c r="AZ57" s="1">
        <v>3.8</v>
      </c>
      <c r="BA57" s="1">
        <v>9.0476000000000001E-2</v>
      </c>
      <c r="BB57" s="1">
        <v>3.1</v>
      </c>
      <c r="BC57" s="1">
        <v>0.81</v>
      </c>
      <c r="BD57" s="1">
        <v>558.4</v>
      </c>
      <c r="BE57" s="1">
        <v>16.5</v>
      </c>
      <c r="BF57" s="1">
        <v>557.5</v>
      </c>
      <c r="BG57" s="1">
        <v>16.399999999999999</v>
      </c>
      <c r="BH57" s="1">
        <v>554</v>
      </c>
      <c r="BI57" s="1">
        <v>48.9</v>
      </c>
      <c r="BJ57" s="1">
        <v>558.4</v>
      </c>
      <c r="BK57" s="1">
        <v>16.5</v>
      </c>
      <c r="BL57" s="1">
        <v>100.8</v>
      </c>
    </row>
    <row r="58" spans="1:64" s="1" customFormat="1" x14ac:dyDescent="0.2">
      <c r="A58" s="1" t="s">
        <v>51</v>
      </c>
      <c r="B58" s="1">
        <v>1111</v>
      </c>
      <c r="C58" s="1">
        <v>78502</v>
      </c>
      <c r="D58" s="1">
        <v>27.83</v>
      </c>
      <c r="E58" s="1">
        <v>19.080200000000001</v>
      </c>
      <c r="F58" s="1">
        <v>1.9</v>
      </c>
      <c r="G58" s="1">
        <v>0.3286</v>
      </c>
      <c r="H58" s="1">
        <v>3.2</v>
      </c>
      <c r="I58" s="1">
        <v>4.5492999999999999E-2</v>
      </c>
      <c r="J58" s="1">
        <v>2.6</v>
      </c>
      <c r="K58" s="1">
        <v>0.81299999999999994</v>
      </c>
      <c r="L58" s="1">
        <v>286.8</v>
      </c>
      <c r="M58" s="1">
        <v>7.4</v>
      </c>
      <c r="N58" s="1">
        <v>288.5</v>
      </c>
      <c r="O58" s="1">
        <v>8.1</v>
      </c>
      <c r="P58" s="1">
        <v>302.3</v>
      </c>
      <c r="Q58" s="1">
        <v>42.9</v>
      </c>
      <c r="R58" s="1">
        <v>286.8</v>
      </c>
      <c r="S58" s="1">
        <v>7.4</v>
      </c>
      <c r="T58" s="1">
        <v>94.9</v>
      </c>
      <c r="AS58" s="1" t="s">
        <v>388</v>
      </c>
      <c r="AT58" s="1">
        <v>223</v>
      </c>
      <c r="AU58" s="1">
        <v>11270</v>
      </c>
      <c r="AV58" s="1">
        <v>1.46</v>
      </c>
      <c r="AW58" s="1">
        <v>13.352499999999999</v>
      </c>
      <c r="AX58" s="1">
        <v>3</v>
      </c>
      <c r="AY58" s="1">
        <v>1.9196299999999999</v>
      </c>
      <c r="AZ58" s="1">
        <v>5.3</v>
      </c>
      <c r="BA58" s="1">
        <v>0.18598300000000001</v>
      </c>
      <c r="BB58" s="1">
        <v>4.4000000000000004</v>
      </c>
      <c r="BC58" s="1">
        <v>0.82599999999999996</v>
      </c>
      <c r="BD58" s="1">
        <v>1099.5999999999999</v>
      </c>
      <c r="BE58" s="1">
        <v>44.2</v>
      </c>
      <c r="BF58" s="1">
        <v>1087.9000000000001</v>
      </c>
      <c r="BG58" s="1">
        <v>35.299999999999997</v>
      </c>
      <c r="BH58" s="1">
        <v>1064.7</v>
      </c>
      <c r="BI58" s="1">
        <v>60</v>
      </c>
      <c r="BJ58" s="1">
        <v>1064.7</v>
      </c>
      <c r="BK58" s="1">
        <v>60</v>
      </c>
      <c r="BL58" s="1">
        <v>103.3</v>
      </c>
    </row>
    <row r="59" spans="1:64" s="1" customFormat="1" x14ac:dyDescent="0.2">
      <c r="A59" s="1" t="s">
        <v>52</v>
      </c>
      <c r="B59" s="1">
        <v>1011</v>
      </c>
      <c r="C59" s="1">
        <v>10605</v>
      </c>
      <c r="D59" s="1">
        <v>166.48</v>
      </c>
      <c r="E59" s="1">
        <v>19.196899999999999</v>
      </c>
      <c r="F59" s="1">
        <v>4.8</v>
      </c>
      <c r="G59" s="1">
        <v>0.34393000000000001</v>
      </c>
      <c r="H59" s="1">
        <v>5.9</v>
      </c>
      <c r="I59" s="1">
        <v>4.7906999999999998E-2</v>
      </c>
      <c r="J59" s="1">
        <v>3.4</v>
      </c>
      <c r="K59" s="1">
        <v>0.58199999999999996</v>
      </c>
      <c r="L59" s="1">
        <v>301.7</v>
      </c>
      <c r="M59" s="1">
        <v>10.1</v>
      </c>
      <c r="N59" s="1">
        <v>300.10000000000002</v>
      </c>
      <c r="O59" s="1">
        <v>15.3</v>
      </c>
      <c r="P59" s="1">
        <v>288.39999999999998</v>
      </c>
      <c r="Q59" s="1">
        <v>109.1</v>
      </c>
      <c r="R59" s="1">
        <v>301.7</v>
      </c>
      <c r="S59" s="1">
        <v>10.1</v>
      </c>
      <c r="T59" s="1">
        <v>104.6</v>
      </c>
      <c r="AS59" s="1" t="s">
        <v>389</v>
      </c>
      <c r="AT59" s="1">
        <v>1276</v>
      </c>
      <c r="AU59" s="1">
        <v>54491</v>
      </c>
      <c r="AV59" s="1">
        <v>5.23</v>
      </c>
      <c r="AW59" s="1">
        <v>17.111000000000001</v>
      </c>
      <c r="AX59" s="1">
        <v>2.2999999999999998</v>
      </c>
      <c r="AY59" s="1">
        <v>0.73151999999999995</v>
      </c>
      <c r="AZ59" s="1">
        <v>3.5</v>
      </c>
      <c r="BA59" s="1">
        <v>9.0824000000000002E-2</v>
      </c>
      <c r="BB59" s="1">
        <v>2.7</v>
      </c>
      <c r="BC59" s="1">
        <v>0.752</v>
      </c>
      <c r="BD59" s="1">
        <v>560.4</v>
      </c>
      <c r="BE59" s="1">
        <v>14.3</v>
      </c>
      <c r="BF59" s="1">
        <v>557.4</v>
      </c>
      <c r="BG59" s="1">
        <v>15.2</v>
      </c>
      <c r="BH59" s="1">
        <v>545.4</v>
      </c>
      <c r="BI59" s="1">
        <v>51</v>
      </c>
      <c r="BJ59" s="1">
        <v>560.4</v>
      </c>
      <c r="BK59" s="1">
        <v>14.3</v>
      </c>
      <c r="BL59" s="1">
        <v>102.8</v>
      </c>
    </row>
    <row r="60" spans="1:64" s="1" customFormat="1" x14ac:dyDescent="0.2">
      <c r="A60" s="1" t="s">
        <v>53</v>
      </c>
      <c r="B60" s="1">
        <v>1699</v>
      </c>
      <c r="C60" s="1">
        <v>34028</v>
      </c>
      <c r="D60" s="1">
        <v>3.71</v>
      </c>
      <c r="E60" s="1">
        <v>17.732099999999999</v>
      </c>
      <c r="F60" s="1">
        <v>2.2999999999999998</v>
      </c>
      <c r="G60" s="1">
        <v>0.51985000000000003</v>
      </c>
      <c r="H60" s="1">
        <v>5.2</v>
      </c>
      <c r="I60" s="1">
        <v>6.6886000000000001E-2</v>
      </c>
      <c r="J60" s="1">
        <v>4.7</v>
      </c>
      <c r="K60" s="1">
        <v>0.89700000000000002</v>
      </c>
      <c r="L60" s="1">
        <v>417.4</v>
      </c>
      <c r="M60" s="1">
        <v>18.899999999999999</v>
      </c>
      <c r="N60" s="1">
        <v>425.1</v>
      </c>
      <c r="O60" s="1">
        <v>18.100000000000001</v>
      </c>
      <c r="P60" s="1">
        <v>466.9</v>
      </c>
      <c r="Q60" s="1">
        <v>51.1</v>
      </c>
      <c r="R60" s="1">
        <v>417.4</v>
      </c>
      <c r="S60" s="1">
        <v>18.899999999999999</v>
      </c>
      <c r="T60" s="1">
        <v>89.4</v>
      </c>
      <c r="AS60" s="1" t="s">
        <v>390</v>
      </c>
      <c r="AT60" s="1">
        <v>416</v>
      </c>
      <c r="AU60" s="1">
        <v>41309</v>
      </c>
      <c r="AV60" s="1">
        <v>1.96</v>
      </c>
      <c r="AW60" s="1">
        <v>13.1112</v>
      </c>
      <c r="AX60" s="1">
        <v>2</v>
      </c>
      <c r="AY60" s="1">
        <v>1.95347</v>
      </c>
      <c r="AZ60" s="1">
        <v>3.8</v>
      </c>
      <c r="BA60" s="1">
        <v>0.18584200000000001</v>
      </c>
      <c r="BB60" s="1">
        <v>3.3</v>
      </c>
      <c r="BC60" s="1">
        <v>0.85399999999999998</v>
      </c>
      <c r="BD60" s="1">
        <v>1098.8</v>
      </c>
      <c r="BE60" s="1">
        <v>32.9</v>
      </c>
      <c r="BF60" s="1">
        <v>1099.5999999999999</v>
      </c>
      <c r="BG60" s="1">
        <v>25.7</v>
      </c>
      <c r="BH60" s="1">
        <v>1101.3</v>
      </c>
      <c r="BI60" s="1">
        <v>39.799999999999997</v>
      </c>
      <c r="BJ60" s="1">
        <v>1101.3</v>
      </c>
      <c r="BK60" s="1">
        <v>39.799999999999997</v>
      </c>
      <c r="BL60" s="1">
        <v>99.8</v>
      </c>
    </row>
    <row r="61" spans="1:64" s="1" customFormat="1" x14ac:dyDescent="0.2">
      <c r="A61" s="1" t="s">
        <v>54</v>
      </c>
      <c r="B61" s="1">
        <v>1252</v>
      </c>
      <c r="C61" s="1">
        <v>75120</v>
      </c>
      <c r="D61" s="1">
        <v>31.02</v>
      </c>
      <c r="E61" s="1">
        <v>18.928599999999999</v>
      </c>
      <c r="F61" s="1">
        <v>2.8</v>
      </c>
      <c r="G61" s="1">
        <v>0.32693</v>
      </c>
      <c r="H61" s="1">
        <v>4.2</v>
      </c>
      <c r="I61" s="1">
        <v>4.4901999999999997E-2</v>
      </c>
      <c r="J61" s="1">
        <v>3.2</v>
      </c>
      <c r="K61" s="1">
        <v>0.753</v>
      </c>
      <c r="L61" s="1">
        <v>283.10000000000002</v>
      </c>
      <c r="M61" s="1">
        <v>8.8000000000000007</v>
      </c>
      <c r="N61" s="1">
        <v>287.2</v>
      </c>
      <c r="O61" s="1">
        <v>10.5</v>
      </c>
      <c r="P61" s="1">
        <v>320.5</v>
      </c>
      <c r="Q61" s="1">
        <v>62.9</v>
      </c>
      <c r="R61" s="1">
        <v>283.10000000000002</v>
      </c>
      <c r="S61" s="1">
        <v>8.8000000000000007</v>
      </c>
      <c r="T61" s="1">
        <v>88.3</v>
      </c>
      <c r="AS61" s="1" t="s">
        <v>391</v>
      </c>
      <c r="AT61" s="1">
        <v>274</v>
      </c>
      <c r="AU61" s="1">
        <v>37175</v>
      </c>
      <c r="AV61" s="1">
        <v>1.2</v>
      </c>
      <c r="AW61" s="1">
        <v>17.544899999999998</v>
      </c>
      <c r="AX61" s="1">
        <v>4.5999999999999996</v>
      </c>
      <c r="AY61" s="1">
        <v>0.53017999999999998</v>
      </c>
      <c r="AZ61" s="1">
        <v>5.8</v>
      </c>
      <c r="BA61" s="1">
        <v>6.7494999999999999E-2</v>
      </c>
      <c r="BB61" s="1">
        <v>3.5</v>
      </c>
      <c r="BC61" s="1">
        <v>0.6</v>
      </c>
      <c r="BD61" s="1">
        <v>421</v>
      </c>
      <c r="BE61" s="1">
        <v>14.1</v>
      </c>
      <c r="BF61" s="1">
        <v>431.9</v>
      </c>
      <c r="BG61" s="1">
        <v>20.2</v>
      </c>
      <c r="BH61" s="1">
        <v>490.4</v>
      </c>
      <c r="BI61" s="1">
        <v>101.5</v>
      </c>
      <c r="BJ61" s="1">
        <v>421</v>
      </c>
      <c r="BK61" s="1">
        <v>14.1</v>
      </c>
      <c r="BL61" s="1">
        <v>85.8</v>
      </c>
    </row>
    <row r="62" spans="1:64" s="1" customFormat="1" x14ac:dyDescent="0.2">
      <c r="A62" s="1" t="s">
        <v>55</v>
      </c>
      <c r="B62" s="1">
        <v>955</v>
      </c>
      <c r="C62" s="1">
        <v>16996</v>
      </c>
      <c r="D62" s="1">
        <v>164.19</v>
      </c>
      <c r="E62" s="1">
        <v>19.011500000000002</v>
      </c>
      <c r="F62" s="1">
        <v>3.2</v>
      </c>
      <c r="G62" s="1">
        <v>0.32285999999999998</v>
      </c>
      <c r="H62" s="1">
        <v>4</v>
      </c>
      <c r="I62" s="1">
        <v>4.4538000000000001E-2</v>
      </c>
      <c r="J62" s="1">
        <v>2.4</v>
      </c>
      <c r="K62" s="1">
        <v>0.59599999999999997</v>
      </c>
      <c r="L62" s="1">
        <v>280.89999999999998</v>
      </c>
      <c r="M62" s="1">
        <v>6.6</v>
      </c>
      <c r="N62" s="1">
        <v>284.10000000000002</v>
      </c>
      <c r="O62" s="1">
        <v>9.9</v>
      </c>
      <c r="P62" s="1">
        <v>310.5</v>
      </c>
      <c r="Q62" s="1">
        <v>73.2</v>
      </c>
      <c r="R62" s="1">
        <v>280.89999999999998</v>
      </c>
      <c r="S62" s="1">
        <v>6.6</v>
      </c>
      <c r="T62" s="1">
        <v>90.5</v>
      </c>
      <c r="AS62" s="1" t="s">
        <v>392</v>
      </c>
      <c r="AT62" s="1">
        <v>321</v>
      </c>
      <c r="AU62" s="1">
        <v>12020</v>
      </c>
      <c r="AV62" s="1">
        <v>14.67</v>
      </c>
      <c r="AW62" s="1">
        <v>13.1813</v>
      </c>
      <c r="AX62" s="1">
        <v>3.2</v>
      </c>
      <c r="AY62" s="1">
        <v>1.9733099999999999</v>
      </c>
      <c r="AZ62" s="1">
        <v>4.2</v>
      </c>
      <c r="BA62" s="1">
        <v>0.18873300000000001</v>
      </c>
      <c r="BB62" s="1">
        <v>2.7</v>
      </c>
      <c r="BC62" s="1">
        <v>0.63900000000000001</v>
      </c>
      <c r="BD62" s="1">
        <v>1114.5</v>
      </c>
      <c r="BE62" s="1">
        <v>27.2</v>
      </c>
      <c r="BF62" s="1">
        <v>1106.4000000000001</v>
      </c>
      <c r="BG62" s="1">
        <v>28</v>
      </c>
      <c r="BH62" s="1">
        <v>1090.5999999999999</v>
      </c>
      <c r="BI62" s="1">
        <v>64</v>
      </c>
      <c r="BJ62" s="1">
        <v>1090.5999999999999</v>
      </c>
      <c r="BK62" s="1">
        <v>64</v>
      </c>
      <c r="BL62" s="1">
        <v>102.2</v>
      </c>
    </row>
    <row r="63" spans="1:64" s="1" customFormat="1" x14ac:dyDescent="0.2">
      <c r="A63" s="1" t="s">
        <v>56</v>
      </c>
      <c r="B63" s="1">
        <v>1145</v>
      </c>
      <c r="C63" s="1">
        <v>15617</v>
      </c>
      <c r="D63" s="1">
        <v>67.66</v>
      </c>
      <c r="E63" s="1">
        <v>19.430599999999998</v>
      </c>
      <c r="F63" s="1">
        <v>3.6</v>
      </c>
      <c r="G63" s="1">
        <v>0.32075999999999999</v>
      </c>
      <c r="H63" s="1">
        <v>4.2</v>
      </c>
      <c r="I63" s="1">
        <v>4.5222999999999999E-2</v>
      </c>
      <c r="J63" s="1">
        <v>2.1</v>
      </c>
      <c r="K63" s="1">
        <v>0.51400000000000001</v>
      </c>
      <c r="L63" s="1">
        <v>285.10000000000002</v>
      </c>
      <c r="M63" s="1">
        <v>6</v>
      </c>
      <c r="N63" s="1">
        <v>282.5</v>
      </c>
      <c r="O63" s="1">
        <v>10.3</v>
      </c>
      <c r="P63" s="1">
        <v>260.7</v>
      </c>
      <c r="Q63" s="1">
        <v>82.2</v>
      </c>
      <c r="R63" s="1">
        <v>285.10000000000002</v>
      </c>
      <c r="S63" s="1">
        <v>6</v>
      </c>
      <c r="T63" s="1">
        <v>109.4</v>
      </c>
      <c r="AS63" s="1" t="s">
        <v>393</v>
      </c>
      <c r="AT63" s="1">
        <v>1246</v>
      </c>
      <c r="AU63" s="1">
        <v>109655</v>
      </c>
      <c r="AV63" s="1">
        <v>5.31</v>
      </c>
      <c r="AW63" s="1">
        <v>16.870699999999999</v>
      </c>
      <c r="AX63" s="1">
        <v>2</v>
      </c>
      <c r="AY63" s="1">
        <v>0.73624000000000001</v>
      </c>
      <c r="AZ63" s="1">
        <v>3.1</v>
      </c>
      <c r="BA63" s="1">
        <v>9.0124999999999997E-2</v>
      </c>
      <c r="BB63" s="1">
        <v>2.4</v>
      </c>
      <c r="BC63" s="1">
        <v>0.76200000000000001</v>
      </c>
      <c r="BD63" s="1">
        <v>556.29999999999995</v>
      </c>
      <c r="BE63" s="1">
        <v>12.7</v>
      </c>
      <c r="BF63" s="1">
        <v>560.20000000000005</v>
      </c>
      <c r="BG63" s="1">
        <v>13.4</v>
      </c>
      <c r="BH63" s="1">
        <v>576.20000000000005</v>
      </c>
      <c r="BI63" s="1">
        <v>43.9</v>
      </c>
      <c r="BJ63" s="1">
        <v>556.29999999999995</v>
      </c>
      <c r="BK63" s="1">
        <v>12.7</v>
      </c>
      <c r="BL63" s="1">
        <v>96.5</v>
      </c>
    </row>
    <row r="64" spans="1:64" s="1" customFormat="1" x14ac:dyDescent="0.2">
      <c r="A64" s="1" t="s">
        <v>57</v>
      </c>
      <c r="B64" s="1">
        <v>172</v>
      </c>
      <c r="C64" s="1">
        <v>13402</v>
      </c>
      <c r="D64" s="1">
        <v>1.64</v>
      </c>
      <c r="E64" s="1">
        <v>16.9358</v>
      </c>
      <c r="F64" s="1">
        <v>5.5</v>
      </c>
      <c r="G64" s="1">
        <v>0.77532000000000001</v>
      </c>
      <c r="H64" s="1">
        <v>7.7</v>
      </c>
      <c r="I64" s="1">
        <v>9.5276E-2</v>
      </c>
      <c r="J64" s="1">
        <v>5.3</v>
      </c>
      <c r="K64" s="1">
        <v>0.69099999999999995</v>
      </c>
      <c r="L64" s="1">
        <v>586.70000000000005</v>
      </c>
      <c r="M64" s="1">
        <v>29.7</v>
      </c>
      <c r="N64" s="1">
        <v>582.79999999999995</v>
      </c>
      <c r="O64" s="1">
        <v>34</v>
      </c>
      <c r="P64" s="1">
        <v>567.9</v>
      </c>
      <c r="Q64" s="1">
        <v>120.5</v>
      </c>
      <c r="R64" s="1">
        <v>586.70000000000005</v>
      </c>
      <c r="S64" s="1">
        <v>29.7</v>
      </c>
      <c r="T64" s="1">
        <v>103.3</v>
      </c>
      <c r="AS64" s="1" t="s">
        <v>394</v>
      </c>
      <c r="AT64" s="1">
        <v>1309</v>
      </c>
      <c r="AU64" s="1">
        <v>112673</v>
      </c>
      <c r="AV64" s="1">
        <v>5.26</v>
      </c>
      <c r="AW64" s="1">
        <v>16.8489</v>
      </c>
      <c r="AX64" s="1">
        <v>2.8</v>
      </c>
      <c r="AY64" s="1">
        <v>0.73295999999999994</v>
      </c>
      <c r="AZ64" s="1">
        <v>3.5</v>
      </c>
      <c r="BA64" s="1">
        <v>8.9607999999999993E-2</v>
      </c>
      <c r="BB64" s="1">
        <v>2</v>
      </c>
      <c r="BC64" s="1">
        <v>0.58599999999999997</v>
      </c>
      <c r="BD64" s="1">
        <v>553.20000000000005</v>
      </c>
      <c r="BE64" s="1">
        <v>10.8</v>
      </c>
      <c r="BF64" s="1">
        <v>558.29999999999995</v>
      </c>
      <c r="BG64" s="1">
        <v>14.9</v>
      </c>
      <c r="BH64" s="1">
        <v>579</v>
      </c>
      <c r="BI64" s="1">
        <v>61.2</v>
      </c>
      <c r="BJ64" s="1">
        <v>553.20000000000005</v>
      </c>
      <c r="BK64" s="1">
        <v>10.8</v>
      </c>
      <c r="BL64" s="1">
        <v>95.5</v>
      </c>
    </row>
    <row r="65" spans="1:64" s="1" customFormat="1" x14ac:dyDescent="0.2">
      <c r="A65" s="1" t="s">
        <v>58</v>
      </c>
      <c r="B65" s="1">
        <v>68</v>
      </c>
      <c r="C65" s="1">
        <v>1000</v>
      </c>
      <c r="D65" s="1">
        <v>1.29</v>
      </c>
      <c r="E65" s="1">
        <v>26.086300000000001</v>
      </c>
      <c r="F65" s="1">
        <v>50.6</v>
      </c>
      <c r="G65" s="1">
        <v>0.22256000000000001</v>
      </c>
      <c r="H65" s="1">
        <v>51</v>
      </c>
      <c r="I65" s="1">
        <v>4.2125000000000003E-2</v>
      </c>
      <c r="J65" s="1">
        <v>6.8</v>
      </c>
      <c r="K65" s="1">
        <v>0.13300000000000001</v>
      </c>
      <c r="L65" s="1">
        <v>266</v>
      </c>
      <c r="M65" s="1">
        <v>17.7</v>
      </c>
      <c r="N65" s="1">
        <v>204</v>
      </c>
      <c r="O65" s="1">
        <v>94.4</v>
      </c>
      <c r="P65" s="1">
        <v>463.2</v>
      </c>
      <c r="Q65" s="1">
        <v>1353.8</v>
      </c>
      <c r="R65" s="1">
        <v>266</v>
      </c>
      <c r="S65" s="1">
        <v>17.7</v>
      </c>
      <c r="T65" s="1">
        <v>57.4</v>
      </c>
      <c r="AS65" s="1" t="s">
        <v>395</v>
      </c>
      <c r="AT65" s="1">
        <v>218</v>
      </c>
      <c r="AU65" s="1">
        <v>47576</v>
      </c>
      <c r="AV65" s="1">
        <v>1.74</v>
      </c>
      <c r="AW65" s="1">
        <v>12.9617</v>
      </c>
      <c r="AX65" s="1">
        <v>3</v>
      </c>
      <c r="AY65" s="1">
        <v>1.9942899999999999</v>
      </c>
      <c r="AZ65" s="1">
        <v>4.3</v>
      </c>
      <c r="BA65" s="1">
        <v>0.18756200000000001</v>
      </c>
      <c r="BB65" s="1">
        <v>3.1</v>
      </c>
      <c r="BC65" s="1">
        <v>0.71899999999999997</v>
      </c>
      <c r="BD65" s="1">
        <v>1108.2</v>
      </c>
      <c r="BE65" s="1">
        <v>31.7</v>
      </c>
      <c r="BF65" s="1">
        <v>1113.5999999999999</v>
      </c>
      <c r="BG65" s="1">
        <v>29.3</v>
      </c>
      <c r="BH65" s="1">
        <v>1124.2</v>
      </c>
      <c r="BI65" s="1">
        <v>60</v>
      </c>
      <c r="BJ65" s="1">
        <v>1124.2</v>
      </c>
      <c r="BK65" s="1">
        <v>60</v>
      </c>
      <c r="BL65" s="1">
        <v>98.6</v>
      </c>
    </row>
    <row r="66" spans="1:64" s="1" customFormat="1" x14ac:dyDescent="0.2">
      <c r="A66" s="1" t="s">
        <v>59</v>
      </c>
      <c r="B66" s="1">
        <v>1119</v>
      </c>
      <c r="C66" s="1">
        <v>70068</v>
      </c>
      <c r="D66" s="1">
        <v>78.23</v>
      </c>
      <c r="E66" s="1">
        <v>18.790500000000002</v>
      </c>
      <c r="F66" s="1">
        <v>1.9</v>
      </c>
      <c r="G66" s="1">
        <v>0.33426</v>
      </c>
      <c r="H66" s="1">
        <v>3</v>
      </c>
      <c r="I66" s="1">
        <v>4.5574000000000003E-2</v>
      </c>
      <c r="J66" s="1">
        <v>2.4</v>
      </c>
      <c r="K66" s="1">
        <v>0.79</v>
      </c>
      <c r="L66" s="1">
        <v>287.3</v>
      </c>
      <c r="M66" s="1">
        <v>6.7</v>
      </c>
      <c r="N66" s="1">
        <v>292.8</v>
      </c>
      <c r="O66" s="1">
        <v>7.7</v>
      </c>
      <c r="P66" s="1">
        <v>337.1</v>
      </c>
      <c r="Q66" s="1">
        <v>42</v>
      </c>
      <c r="R66" s="1">
        <v>287.3</v>
      </c>
      <c r="S66" s="1">
        <v>6.7</v>
      </c>
      <c r="T66" s="1">
        <v>85.2</v>
      </c>
      <c r="AS66" s="1" t="s">
        <v>396</v>
      </c>
      <c r="AT66" s="1">
        <v>1269</v>
      </c>
      <c r="AU66" s="1">
        <v>24265</v>
      </c>
      <c r="AV66" s="1">
        <v>5.31</v>
      </c>
      <c r="AW66" s="1">
        <v>17.324999999999999</v>
      </c>
      <c r="AX66" s="1">
        <v>2.4</v>
      </c>
      <c r="AY66" s="1">
        <v>0.71960000000000002</v>
      </c>
      <c r="AZ66" s="1">
        <v>3</v>
      </c>
      <c r="BA66" s="1">
        <v>9.0461E-2</v>
      </c>
      <c r="BB66" s="1">
        <v>1.7</v>
      </c>
      <c r="BC66" s="1">
        <v>0.56000000000000005</v>
      </c>
      <c r="BD66" s="1">
        <v>558.29999999999995</v>
      </c>
      <c r="BE66" s="1">
        <v>8.8000000000000007</v>
      </c>
      <c r="BF66" s="1">
        <v>550.4</v>
      </c>
      <c r="BG66" s="1">
        <v>12.6</v>
      </c>
      <c r="BH66" s="1">
        <v>518.1</v>
      </c>
      <c r="BI66" s="1">
        <v>53.7</v>
      </c>
      <c r="BJ66" s="1">
        <v>558.29999999999995</v>
      </c>
      <c r="BK66" s="1">
        <v>8.8000000000000007</v>
      </c>
      <c r="BL66" s="1">
        <v>107.8</v>
      </c>
    </row>
    <row r="67" spans="1:64" s="1" customFormat="1" x14ac:dyDescent="0.2">
      <c r="A67" s="1" t="s">
        <v>60</v>
      </c>
      <c r="B67" s="1">
        <v>182</v>
      </c>
      <c r="C67" s="1">
        <v>1000</v>
      </c>
      <c r="D67" s="1">
        <v>0.96</v>
      </c>
      <c r="E67" s="1">
        <v>26.620899999999999</v>
      </c>
      <c r="F67" s="1">
        <v>59.9</v>
      </c>
      <c r="G67" s="1">
        <v>0.21822</v>
      </c>
      <c r="H67" s="1">
        <v>60.1</v>
      </c>
      <c r="I67" s="1">
        <v>4.2151000000000001E-2</v>
      </c>
      <c r="J67" s="1">
        <v>4.4000000000000004</v>
      </c>
      <c r="K67" s="1">
        <v>7.2999999999999995E-2</v>
      </c>
      <c r="L67" s="1">
        <v>266.2</v>
      </c>
      <c r="M67" s="1">
        <v>11.4</v>
      </c>
      <c r="N67" s="1">
        <v>200.4</v>
      </c>
      <c r="O67" s="1">
        <v>109.4</v>
      </c>
      <c r="P67" s="1">
        <v>517.1</v>
      </c>
      <c r="Q67" s="1">
        <v>1630.3</v>
      </c>
      <c r="R67" s="1">
        <v>266.2</v>
      </c>
      <c r="S67" s="1">
        <v>11.4</v>
      </c>
      <c r="T67" s="1">
        <v>51.5</v>
      </c>
      <c r="AS67" s="1" t="s">
        <v>397</v>
      </c>
      <c r="AT67" s="1">
        <v>664</v>
      </c>
      <c r="AU67" s="1">
        <v>133238</v>
      </c>
      <c r="AV67" s="1">
        <v>13.53</v>
      </c>
      <c r="AW67" s="1">
        <v>13.1791</v>
      </c>
      <c r="AX67" s="1">
        <v>1.9</v>
      </c>
      <c r="AY67" s="1">
        <v>1.9192</v>
      </c>
      <c r="AZ67" s="1">
        <v>3.5</v>
      </c>
      <c r="BA67" s="1">
        <v>0.183527</v>
      </c>
      <c r="BB67" s="1">
        <v>3</v>
      </c>
      <c r="BC67" s="1">
        <v>0.84099999999999997</v>
      </c>
      <c r="BD67" s="1">
        <v>1086.2</v>
      </c>
      <c r="BE67" s="1">
        <v>29.5</v>
      </c>
      <c r="BF67" s="1">
        <v>1087.8</v>
      </c>
      <c r="BG67" s="1">
        <v>23.4</v>
      </c>
      <c r="BH67" s="1">
        <v>1090.9000000000001</v>
      </c>
      <c r="BI67" s="1">
        <v>38</v>
      </c>
      <c r="BJ67" s="1">
        <v>1090.9000000000001</v>
      </c>
      <c r="BK67" s="1">
        <v>38</v>
      </c>
      <c r="BL67" s="1">
        <v>99.6</v>
      </c>
    </row>
    <row r="68" spans="1:64" s="1" customFormat="1" x14ac:dyDescent="0.2">
      <c r="A68" s="1" t="s">
        <v>61</v>
      </c>
      <c r="B68" s="1">
        <v>86</v>
      </c>
      <c r="C68" s="1">
        <v>30105</v>
      </c>
      <c r="D68" s="1">
        <v>1.74</v>
      </c>
      <c r="E68" s="1">
        <v>17.956499999999998</v>
      </c>
      <c r="F68" s="1">
        <v>8.6999999999999993</v>
      </c>
      <c r="G68" s="1">
        <v>0.39962999999999999</v>
      </c>
      <c r="H68" s="1">
        <v>10.7</v>
      </c>
      <c r="I68" s="1">
        <v>5.2068000000000003E-2</v>
      </c>
      <c r="J68" s="1">
        <v>6.2</v>
      </c>
      <c r="K68" s="1">
        <v>0.57799999999999996</v>
      </c>
      <c r="L68" s="1">
        <v>327.2</v>
      </c>
      <c r="M68" s="1">
        <v>19.7</v>
      </c>
      <c r="N68" s="1">
        <v>341.4</v>
      </c>
      <c r="O68" s="1">
        <v>31</v>
      </c>
      <c r="P68" s="1">
        <v>439</v>
      </c>
      <c r="Q68" s="1">
        <v>194</v>
      </c>
      <c r="R68" s="1">
        <v>327.2</v>
      </c>
      <c r="S68" s="1">
        <v>19.7</v>
      </c>
      <c r="T68" s="1">
        <v>74.5</v>
      </c>
      <c r="AS68" s="1" t="s">
        <v>398</v>
      </c>
      <c r="AT68" s="1">
        <v>1240</v>
      </c>
      <c r="AU68" s="1">
        <v>101594</v>
      </c>
      <c r="AV68" s="1">
        <v>5.25</v>
      </c>
      <c r="AW68" s="1">
        <v>16.892700000000001</v>
      </c>
      <c r="AX68" s="1">
        <v>2.2999999999999998</v>
      </c>
      <c r="AY68" s="1">
        <v>0.73085999999999995</v>
      </c>
      <c r="AZ68" s="1">
        <v>3.3</v>
      </c>
      <c r="BA68" s="1">
        <v>8.9582999999999996E-2</v>
      </c>
      <c r="BB68" s="1">
        <v>2.2999999999999998</v>
      </c>
      <c r="BC68" s="1">
        <v>0.71099999999999997</v>
      </c>
      <c r="BD68" s="1">
        <v>553.1</v>
      </c>
      <c r="BE68" s="1">
        <v>12.3</v>
      </c>
      <c r="BF68" s="1">
        <v>557.1</v>
      </c>
      <c r="BG68" s="1">
        <v>14</v>
      </c>
      <c r="BH68" s="1">
        <v>573.4</v>
      </c>
      <c r="BI68" s="1">
        <v>49.9</v>
      </c>
      <c r="BJ68" s="1">
        <v>553.1</v>
      </c>
      <c r="BK68" s="1">
        <v>12.3</v>
      </c>
      <c r="BL68" s="1">
        <v>96.5</v>
      </c>
    </row>
    <row r="69" spans="1:64" x14ac:dyDescent="0.2">
      <c r="A69" t="s">
        <v>62</v>
      </c>
      <c r="B69">
        <v>706</v>
      </c>
      <c r="C69">
        <v>41547</v>
      </c>
      <c r="D69">
        <v>0.67</v>
      </c>
      <c r="E69">
        <v>18.638300000000001</v>
      </c>
      <c r="F69">
        <v>2.9</v>
      </c>
      <c r="G69">
        <v>0.39454</v>
      </c>
      <c r="H69">
        <v>4.2</v>
      </c>
      <c r="I69">
        <v>5.3357000000000002E-2</v>
      </c>
      <c r="J69">
        <v>3.1</v>
      </c>
      <c r="K69">
        <v>0.72699999999999998</v>
      </c>
      <c r="L69">
        <v>335.1</v>
      </c>
      <c r="M69">
        <v>10.1</v>
      </c>
      <c r="N69">
        <v>337.7</v>
      </c>
      <c r="O69">
        <v>12.2</v>
      </c>
      <c r="P69">
        <v>355.5</v>
      </c>
      <c r="Q69">
        <v>65.8</v>
      </c>
      <c r="R69">
        <v>335.1</v>
      </c>
      <c r="S69">
        <v>10.1</v>
      </c>
      <c r="T69">
        <v>94.3</v>
      </c>
      <c r="AS69" t="s">
        <v>399</v>
      </c>
      <c r="AT69">
        <v>275</v>
      </c>
      <c r="AU69">
        <v>112438</v>
      </c>
      <c r="AV69">
        <v>1.45</v>
      </c>
      <c r="AW69">
        <v>13.105600000000001</v>
      </c>
      <c r="AX69">
        <v>2</v>
      </c>
      <c r="AY69">
        <v>1.91638</v>
      </c>
      <c r="AZ69">
        <v>4</v>
      </c>
      <c r="BA69">
        <v>0.18223500000000001</v>
      </c>
      <c r="BB69">
        <v>3.4</v>
      </c>
      <c r="BC69">
        <v>0.85699999999999998</v>
      </c>
      <c r="BD69">
        <v>1079.2</v>
      </c>
      <c r="BE69">
        <v>33.799999999999997</v>
      </c>
      <c r="BF69">
        <v>1086.8</v>
      </c>
      <c r="BG69">
        <v>26.4</v>
      </c>
      <c r="BH69">
        <v>1102.0999999999999</v>
      </c>
      <c r="BI69">
        <v>40.799999999999997</v>
      </c>
      <c r="BJ69">
        <v>1102.0999999999999</v>
      </c>
      <c r="BK69">
        <v>40.799999999999997</v>
      </c>
      <c r="BL69">
        <v>97.9</v>
      </c>
    </row>
    <row r="70" spans="1:64" x14ac:dyDescent="0.2">
      <c r="A70" t="s">
        <v>63</v>
      </c>
      <c r="B70">
        <v>969</v>
      </c>
      <c r="C70">
        <v>81481</v>
      </c>
      <c r="D70">
        <v>0.68</v>
      </c>
      <c r="E70">
        <v>17.930900000000001</v>
      </c>
      <c r="F70">
        <v>8.6</v>
      </c>
      <c r="G70">
        <v>0.40544000000000002</v>
      </c>
      <c r="H70">
        <v>14.7</v>
      </c>
      <c r="I70">
        <v>5.2750999999999999E-2</v>
      </c>
      <c r="J70">
        <v>11.9</v>
      </c>
      <c r="K70">
        <v>0.81200000000000006</v>
      </c>
      <c r="L70">
        <v>331.4</v>
      </c>
      <c r="M70">
        <v>38.5</v>
      </c>
      <c r="N70">
        <v>345.6</v>
      </c>
      <c r="O70">
        <v>43</v>
      </c>
      <c r="P70">
        <v>442.2</v>
      </c>
      <c r="Q70">
        <v>190.5</v>
      </c>
      <c r="R70">
        <v>331.4</v>
      </c>
      <c r="S70">
        <v>38.5</v>
      </c>
      <c r="T70">
        <v>74.900000000000006</v>
      </c>
      <c r="AS70" t="s">
        <v>400</v>
      </c>
      <c r="AT70">
        <v>1232</v>
      </c>
      <c r="AU70">
        <v>53116</v>
      </c>
      <c r="AV70">
        <v>5.24</v>
      </c>
      <c r="AW70">
        <v>17.177099999999999</v>
      </c>
      <c r="AX70">
        <v>2.6</v>
      </c>
      <c r="AY70">
        <v>0.72467000000000004</v>
      </c>
      <c r="AZ70">
        <v>3.7</v>
      </c>
      <c r="BA70">
        <v>9.0319999999999998E-2</v>
      </c>
      <c r="BB70">
        <v>2.7</v>
      </c>
      <c r="BC70">
        <v>0.71499999999999997</v>
      </c>
      <c r="BD70">
        <v>557.4</v>
      </c>
      <c r="BE70">
        <v>14.2</v>
      </c>
      <c r="BF70">
        <v>553.4</v>
      </c>
      <c r="BG70">
        <v>15.9</v>
      </c>
      <c r="BH70">
        <v>537</v>
      </c>
      <c r="BI70">
        <v>57</v>
      </c>
      <c r="BJ70">
        <v>557.4</v>
      </c>
      <c r="BK70">
        <v>14.2</v>
      </c>
      <c r="BL70">
        <v>103.8</v>
      </c>
    </row>
    <row r="71" spans="1:64" x14ac:dyDescent="0.2">
      <c r="A71" t="s">
        <v>64</v>
      </c>
      <c r="B71">
        <v>1311</v>
      </c>
      <c r="C71">
        <v>13359</v>
      </c>
      <c r="D71">
        <v>0.66</v>
      </c>
      <c r="E71">
        <v>18.148199999999999</v>
      </c>
      <c r="F71">
        <v>3.8</v>
      </c>
      <c r="G71">
        <v>0.40128999999999998</v>
      </c>
      <c r="H71">
        <v>4.5999999999999996</v>
      </c>
      <c r="I71">
        <v>5.2843000000000001E-2</v>
      </c>
      <c r="J71">
        <v>2.6</v>
      </c>
      <c r="K71">
        <v>0.55800000000000005</v>
      </c>
      <c r="L71">
        <v>332</v>
      </c>
      <c r="M71">
        <v>8.3000000000000007</v>
      </c>
      <c r="N71">
        <v>342.6</v>
      </c>
      <c r="O71">
        <v>13.4</v>
      </c>
      <c r="P71">
        <v>415.3</v>
      </c>
      <c r="Q71">
        <v>85.3</v>
      </c>
      <c r="R71">
        <v>332</v>
      </c>
      <c r="S71">
        <v>8.3000000000000007</v>
      </c>
      <c r="T71">
        <v>79.900000000000006</v>
      </c>
      <c r="AS71" t="s">
        <v>401</v>
      </c>
      <c r="AT71">
        <v>332</v>
      </c>
      <c r="AU71">
        <v>10153</v>
      </c>
      <c r="AV71">
        <v>1.37</v>
      </c>
      <c r="AW71">
        <v>18.368099999999998</v>
      </c>
      <c r="AX71">
        <v>5</v>
      </c>
      <c r="AY71">
        <v>0.49187999999999998</v>
      </c>
      <c r="AZ71">
        <v>6.2</v>
      </c>
      <c r="BA71">
        <v>6.5557000000000004E-2</v>
      </c>
      <c r="BB71">
        <v>3.6</v>
      </c>
      <c r="BC71">
        <v>0.58799999999999997</v>
      </c>
      <c r="BD71">
        <v>409.3</v>
      </c>
      <c r="BE71">
        <v>14.4</v>
      </c>
      <c r="BF71">
        <v>406.2</v>
      </c>
      <c r="BG71">
        <v>20.6</v>
      </c>
      <c r="BH71">
        <v>388.4</v>
      </c>
      <c r="BI71">
        <v>111.9</v>
      </c>
      <c r="BJ71">
        <v>409.3</v>
      </c>
      <c r="BK71">
        <v>14.4</v>
      </c>
      <c r="BL71">
        <v>105.4</v>
      </c>
    </row>
    <row r="72" spans="1:64" x14ac:dyDescent="0.2">
      <c r="A72" t="s">
        <v>65</v>
      </c>
      <c r="B72">
        <v>696</v>
      </c>
      <c r="C72">
        <v>60834</v>
      </c>
      <c r="D72">
        <v>10.52</v>
      </c>
      <c r="E72">
        <v>18.792999999999999</v>
      </c>
      <c r="F72">
        <v>3</v>
      </c>
      <c r="G72">
        <v>0.39667999999999998</v>
      </c>
      <c r="H72">
        <v>4.0999999999999996</v>
      </c>
      <c r="I72">
        <v>5.4091E-2</v>
      </c>
      <c r="J72">
        <v>2.8</v>
      </c>
      <c r="K72">
        <v>0.67400000000000004</v>
      </c>
      <c r="L72">
        <v>339.6</v>
      </c>
      <c r="M72">
        <v>9.1999999999999993</v>
      </c>
      <c r="N72">
        <v>339.2</v>
      </c>
      <c r="O72">
        <v>11.9</v>
      </c>
      <c r="P72">
        <v>336.8</v>
      </c>
      <c r="Q72">
        <v>69.099999999999994</v>
      </c>
      <c r="R72">
        <v>339.6</v>
      </c>
      <c r="S72">
        <v>9.1999999999999993</v>
      </c>
      <c r="T72">
        <v>100.8</v>
      </c>
      <c r="AS72" t="s">
        <v>402</v>
      </c>
      <c r="AT72">
        <v>287</v>
      </c>
      <c r="AU72">
        <v>16229</v>
      </c>
      <c r="AV72">
        <v>1.71</v>
      </c>
      <c r="AW72">
        <v>13.173999999999999</v>
      </c>
      <c r="AX72">
        <v>3.1</v>
      </c>
      <c r="AY72">
        <v>1.99173</v>
      </c>
      <c r="AZ72">
        <v>5.3</v>
      </c>
      <c r="BA72">
        <v>0.19039</v>
      </c>
      <c r="BB72">
        <v>4.3</v>
      </c>
      <c r="BC72">
        <v>0.81599999999999995</v>
      </c>
      <c r="BD72">
        <v>1123.5</v>
      </c>
      <c r="BE72">
        <v>44.5</v>
      </c>
      <c r="BF72">
        <v>1112.7</v>
      </c>
      <c r="BG72">
        <v>35.799999999999997</v>
      </c>
      <c r="BH72">
        <v>1091.7</v>
      </c>
      <c r="BI72">
        <v>61.2</v>
      </c>
      <c r="BJ72">
        <v>1091.7</v>
      </c>
      <c r="BK72">
        <v>61.2</v>
      </c>
      <c r="BL72">
        <v>102.9</v>
      </c>
    </row>
    <row r="73" spans="1:64" x14ac:dyDescent="0.2">
      <c r="A73" t="s">
        <v>66</v>
      </c>
      <c r="B73">
        <v>1853</v>
      </c>
      <c r="C73">
        <v>21510</v>
      </c>
      <c r="D73">
        <v>0.73</v>
      </c>
      <c r="E73">
        <v>16.956800000000001</v>
      </c>
      <c r="F73">
        <v>5.3</v>
      </c>
      <c r="G73">
        <v>0.42518</v>
      </c>
      <c r="H73">
        <v>6.6</v>
      </c>
      <c r="I73">
        <v>5.2312999999999998E-2</v>
      </c>
      <c r="J73">
        <v>4</v>
      </c>
      <c r="K73">
        <v>0.60199999999999998</v>
      </c>
      <c r="L73">
        <v>328.7</v>
      </c>
      <c r="M73">
        <v>12.8</v>
      </c>
      <c r="N73">
        <v>359.7</v>
      </c>
      <c r="O73">
        <v>20.100000000000001</v>
      </c>
      <c r="P73">
        <v>565.20000000000005</v>
      </c>
      <c r="Q73">
        <v>115.4</v>
      </c>
      <c r="R73">
        <v>328.7</v>
      </c>
      <c r="S73">
        <v>12.8</v>
      </c>
      <c r="T73">
        <v>58.2</v>
      </c>
      <c r="AS73" t="s">
        <v>403</v>
      </c>
      <c r="AT73">
        <v>1079</v>
      </c>
      <c r="AU73">
        <v>65283</v>
      </c>
      <c r="AV73">
        <v>5.1100000000000003</v>
      </c>
      <c r="AW73">
        <v>16.937000000000001</v>
      </c>
      <c r="AX73">
        <v>2.5</v>
      </c>
      <c r="AY73">
        <v>0.73465000000000003</v>
      </c>
      <c r="AZ73">
        <v>3.6</v>
      </c>
      <c r="BA73">
        <v>9.0284000000000003E-2</v>
      </c>
      <c r="BB73">
        <v>2.6</v>
      </c>
      <c r="BC73">
        <v>0.72099999999999997</v>
      </c>
      <c r="BD73">
        <v>557.20000000000005</v>
      </c>
      <c r="BE73">
        <v>13.7</v>
      </c>
      <c r="BF73">
        <v>559.29999999999995</v>
      </c>
      <c r="BG73">
        <v>15.3</v>
      </c>
      <c r="BH73">
        <v>567.70000000000005</v>
      </c>
      <c r="BI73">
        <v>53.7</v>
      </c>
      <c r="BJ73">
        <v>557.20000000000005</v>
      </c>
      <c r="BK73">
        <v>13.7</v>
      </c>
      <c r="BL73">
        <v>98.2</v>
      </c>
    </row>
    <row r="74" spans="1:64" x14ac:dyDescent="0.2">
      <c r="A74" t="s">
        <v>67</v>
      </c>
      <c r="B74">
        <v>1624</v>
      </c>
      <c r="C74">
        <v>10266</v>
      </c>
      <c r="D74">
        <v>0.56000000000000005</v>
      </c>
      <c r="E74">
        <v>16.009499999999999</v>
      </c>
      <c r="F74">
        <v>12.8</v>
      </c>
      <c r="G74">
        <v>0.46507999999999999</v>
      </c>
      <c r="H74">
        <v>13.1</v>
      </c>
      <c r="I74">
        <v>5.4025999999999998E-2</v>
      </c>
      <c r="J74">
        <v>2.7</v>
      </c>
      <c r="K74">
        <v>0.20300000000000001</v>
      </c>
      <c r="L74">
        <v>339.2</v>
      </c>
      <c r="M74">
        <v>8.8000000000000007</v>
      </c>
      <c r="N74">
        <v>387.8</v>
      </c>
      <c r="O74">
        <v>42.1</v>
      </c>
      <c r="P74">
        <v>689.1</v>
      </c>
      <c r="Q74">
        <v>272.89999999999998</v>
      </c>
      <c r="R74">
        <v>339.2</v>
      </c>
      <c r="S74">
        <v>8.8000000000000007</v>
      </c>
      <c r="T74">
        <v>49.2</v>
      </c>
      <c r="AS74" t="s">
        <v>404</v>
      </c>
      <c r="AT74">
        <v>258</v>
      </c>
      <c r="AU74">
        <v>23824</v>
      </c>
      <c r="AV74">
        <v>1.59</v>
      </c>
      <c r="AW74">
        <v>13.2796</v>
      </c>
      <c r="AX74">
        <v>2.2999999999999998</v>
      </c>
      <c r="AY74">
        <v>1.96922</v>
      </c>
      <c r="AZ74">
        <v>4.3</v>
      </c>
      <c r="BA74">
        <v>0.189746</v>
      </c>
      <c r="BB74">
        <v>3.7</v>
      </c>
      <c r="BC74">
        <v>0.84799999999999998</v>
      </c>
      <c r="BD74">
        <v>1120</v>
      </c>
      <c r="BE74">
        <v>37.9</v>
      </c>
      <c r="BF74">
        <v>1105</v>
      </c>
      <c r="BG74">
        <v>29.3</v>
      </c>
      <c r="BH74">
        <v>1075.7</v>
      </c>
      <c r="BI74">
        <v>46.2</v>
      </c>
      <c r="BJ74">
        <v>1075.7</v>
      </c>
      <c r="BK74">
        <v>46.2</v>
      </c>
      <c r="BL74">
        <v>104.1</v>
      </c>
    </row>
    <row r="75" spans="1:64" x14ac:dyDescent="0.2">
      <c r="A75" t="s">
        <v>68</v>
      </c>
      <c r="B75">
        <v>1122</v>
      </c>
      <c r="C75">
        <v>24349</v>
      </c>
      <c r="D75">
        <v>0.62</v>
      </c>
      <c r="E75">
        <v>19.000299999999999</v>
      </c>
      <c r="F75">
        <v>2.7</v>
      </c>
      <c r="G75">
        <v>0.38429999999999997</v>
      </c>
      <c r="H75">
        <v>3.5</v>
      </c>
      <c r="I75">
        <v>5.2982000000000001E-2</v>
      </c>
      <c r="J75">
        <v>2.2999999999999998</v>
      </c>
      <c r="K75">
        <v>0.65100000000000002</v>
      </c>
      <c r="L75">
        <v>332.8</v>
      </c>
      <c r="M75">
        <v>7.5</v>
      </c>
      <c r="N75">
        <v>330.2</v>
      </c>
      <c r="O75">
        <v>10</v>
      </c>
      <c r="P75">
        <v>311.89999999999998</v>
      </c>
      <c r="Q75">
        <v>61.3</v>
      </c>
      <c r="R75">
        <v>332.8</v>
      </c>
      <c r="S75">
        <v>7.5</v>
      </c>
      <c r="T75">
        <v>106.7</v>
      </c>
      <c r="AS75" t="s">
        <v>405</v>
      </c>
      <c r="AT75">
        <v>901</v>
      </c>
      <c r="AU75">
        <v>66698</v>
      </c>
      <c r="AV75">
        <v>1.24</v>
      </c>
      <c r="AW75">
        <v>13.1852</v>
      </c>
      <c r="AX75">
        <v>1.8</v>
      </c>
      <c r="AY75">
        <v>1.9408099999999999</v>
      </c>
      <c r="AZ75">
        <v>3.1</v>
      </c>
      <c r="BA75">
        <v>0.18568000000000001</v>
      </c>
      <c r="BB75">
        <v>2.6</v>
      </c>
      <c r="BC75">
        <v>0.82299999999999995</v>
      </c>
      <c r="BD75">
        <v>1097.9000000000001</v>
      </c>
      <c r="BE75">
        <v>25.8</v>
      </c>
      <c r="BF75">
        <v>1095.3</v>
      </c>
      <c r="BG75">
        <v>20.8</v>
      </c>
      <c r="BH75">
        <v>1090</v>
      </c>
      <c r="BI75">
        <v>35.4</v>
      </c>
      <c r="BJ75">
        <v>1090</v>
      </c>
      <c r="BK75">
        <v>35.4</v>
      </c>
      <c r="BL75">
        <v>100.7</v>
      </c>
    </row>
    <row r="76" spans="1:64" x14ac:dyDescent="0.2">
      <c r="A76" t="s">
        <v>69</v>
      </c>
      <c r="B76">
        <v>887</v>
      </c>
      <c r="C76">
        <v>175720</v>
      </c>
      <c r="D76">
        <v>0.55000000000000004</v>
      </c>
      <c r="E76">
        <v>18.5258</v>
      </c>
      <c r="F76">
        <v>2.4</v>
      </c>
      <c r="G76">
        <v>0.39990999999999999</v>
      </c>
      <c r="H76">
        <v>3.2</v>
      </c>
      <c r="I76">
        <v>5.3756999999999999E-2</v>
      </c>
      <c r="J76">
        <v>2.1</v>
      </c>
      <c r="K76">
        <v>0.65300000000000002</v>
      </c>
      <c r="L76">
        <v>337.5</v>
      </c>
      <c r="M76">
        <v>6.9</v>
      </c>
      <c r="N76">
        <v>341.6</v>
      </c>
      <c r="O76">
        <v>9.3000000000000007</v>
      </c>
      <c r="P76">
        <v>369.1</v>
      </c>
      <c r="Q76">
        <v>55</v>
      </c>
      <c r="R76">
        <v>337.5</v>
      </c>
      <c r="S76">
        <v>6.9</v>
      </c>
      <c r="T76">
        <v>91.4</v>
      </c>
      <c r="AS76" t="s">
        <v>406</v>
      </c>
      <c r="AT76">
        <v>1245</v>
      </c>
      <c r="AU76">
        <v>155915</v>
      </c>
      <c r="AV76">
        <v>5.22</v>
      </c>
      <c r="AW76">
        <v>16.854399999999998</v>
      </c>
      <c r="AX76">
        <v>2.1</v>
      </c>
      <c r="AY76">
        <v>0.73123000000000005</v>
      </c>
      <c r="AZ76">
        <v>3.4</v>
      </c>
      <c r="BA76">
        <v>8.9425000000000004E-2</v>
      </c>
      <c r="BB76">
        <v>2.7</v>
      </c>
      <c r="BC76">
        <v>0.78200000000000003</v>
      </c>
      <c r="BD76">
        <v>552.1</v>
      </c>
      <c r="BE76">
        <v>14.3</v>
      </c>
      <c r="BF76">
        <v>557.29999999999995</v>
      </c>
      <c r="BG76">
        <v>14.8</v>
      </c>
      <c r="BH76">
        <v>578.29999999999995</v>
      </c>
      <c r="BI76">
        <v>46.6</v>
      </c>
      <c r="BJ76">
        <v>552.1</v>
      </c>
      <c r="BK76">
        <v>14.3</v>
      </c>
      <c r="BL76">
        <v>95.5</v>
      </c>
    </row>
    <row r="77" spans="1:64" x14ac:dyDescent="0.2">
      <c r="A77" t="s">
        <v>70</v>
      </c>
      <c r="B77">
        <v>240</v>
      </c>
      <c r="C77">
        <v>4755</v>
      </c>
      <c r="D77">
        <v>1.1599999999999999</v>
      </c>
      <c r="E77">
        <v>16.759599999999999</v>
      </c>
      <c r="F77">
        <v>9.5</v>
      </c>
      <c r="G77">
        <v>0.42903999999999998</v>
      </c>
      <c r="H77">
        <v>10.6</v>
      </c>
      <c r="I77">
        <v>5.2173999999999998E-2</v>
      </c>
      <c r="J77">
        <v>4.7</v>
      </c>
      <c r="K77">
        <v>0.442</v>
      </c>
      <c r="L77">
        <v>327.9</v>
      </c>
      <c r="M77">
        <v>15</v>
      </c>
      <c r="N77">
        <v>362.5</v>
      </c>
      <c r="O77">
        <v>32.299999999999997</v>
      </c>
      <c r="P77">
        <v>590.6</v>
      </c>
      <c r="Q77">
        <v>206.4</v>
      </c>
      <c r="R77">
        <v>327.9</v>
      </c>
      <c r="S77">
        <v>15</v>
      </c>
      <c r="T77">
        <v>55.5</v>
      </c>
      <c r="AS77" t="s">
        <v>407</v>
      </c>
      <c r="AT77">
        <v>219</v>
      </c>
      <c r="AU77">
        <v>68135</v>
      </c>
      <c r="AV77">
        <v>18.61</v>
      </c>
      <c r="AW77">
        <v>13.137600000000001</v>
      </c>
      <c r="AX77">
        <v>2.1</v>
      </c>
      <c r="AY77">
        <v>1.9941899999999999</v>
      </c>
      <c r="AZ77">
        <v>5.2</v>
      </c>
      <c r="BA77">
        <v>0.19009699999999999</v>
      </c>
      <c r="BB77">
        <v>4.7</v>
      </c>
      <c r="BC77">
        <v>0.91300000000000003</v>
      </c>
      <c r="BD77">
        <v>1121.9000000000001</v>
      </c>
      <c r="BE77">
        <v>48.5</v>
      </c>
      <c r="BF77">
        <v>1113.5</v>
      </c>
      <c r="BG77">
        <v>34.9</v>
      </c>
      <c r="BH77">
        <v>1097.3</v>
      </c>
      <c r="BI77">
        <v>42.2</v>
      </c>
      <c r="BJ77">
        <v>1097.3</v>
      </c>
      <c r="BK77">
        <v>42.2</v>
      </c>
      <c r="BL77">
        <v>102.2</v>
      </c>
    </row>
    <row r="78" spans="1:64" x14ac:dyDescent="0.2">
      <c r="A78" t="s">
        <v>71</v>
      </c>
      <c r="B78">
        <v>1059</v>
      </c>
      <c r="C78">
        <v>196714</v>
      </c>
      <c r="D78">
        <v>0.66</v>
      </c>
      <c r="E78">
        <v>18.340199999999999</v>
      </c>
      <c r="F78">
        <v>2.6</v>
      </c>
      <c r="G78">
        <v>0.40095999999999998</v>
      </c>
      <c r="H78">
        <v>4.5</v>
      </c>
      <c r="I78">
        <v>5.3358000000000003E-2</v>
      </c>
      <c r="J78">
        <v>3.6</v>
      </c>
      <c r="K78">
        <v>0.81</v>
      </c>
      <c r="L78">
        <v>335.1</v>
      </c>
      <c r="M78">
        <v>11.8</v>
      </c>
      <c r="N78">
        <v>342.3</v>
      </c>
      <c r="O78">
        <v>13</v>
      </c>
      <c r="P78">
        <v>391.8</v>
      </c>
      <c r="Q78">
        <v>58.8</v>
      </c>
      <c r="R78">
        <v>335.1</v>
      </c>
      <c r="S78">
        <v>11.8</v>
      </c>
      <c r="T78">
        <v>85.5</v>
      </c>
      <c r="AS78" t="s">
        <v>408</v>
      </c>
      <c r="AT78">
        <v>1352</v>
      </c>
      <c r="AU78">
        <v>100488</v>
      </c>
      <c r="AV78">
        <v>5.08</v>
      </c>
      <c r="AW78">
        <v>16.973299999999998</v>
      </c>
      <c r="AX78">
        <v>1.7</v>
      </c>
      <c r="AY78">
        <v>0.73346999999999996</v>
      </c>
      <c r="AZ78">
        <v>2.8</v>
      </c>
      <c r="BA78">
        <v>9.0331999999999996E-2</v>
      </c>
      <c r="BB78">
        <v>2.2000000000000002</v>
      </c>
      <c r="BC78">
        <v>0.80500000000000005</v>
      </c>
      <c r="BD78">
        <v>557.5</v>
      </c>
      <c r="BE78">
        <v>12</v>
      </c>
      <c r="BF78">
        <v>558.6</v>
      </c>
      <c r="BG78">
        <v>12</v>
      </c>
      <c r="BH78">
        <v>563</v>
      </c>
      <c r="BI78">
        <v>36.1</v>
      </c>
      <c r="BJ78">
        <v>557.5</v>
      </c>
      <c r="BK78">
        <v>12</v>
      </c>
      <c r="BL78">
        <v>99</v>
      </c>
    </row>
    <row r="79" spans="1:64" x14ac:dyDescent="0.2">
      <c r="A79" t="s">
        <v>72</v>
      </c>
      <c r="B79">
        <v>1807</v>
      </c>
      <c r="C79">
        <v>75829</v>
      </c>
      <c r="D79">
        <v>0.51</v>
      </c>
      <c r="E79">
        <v>18.758500000000002</v>
      </c>
      <c r="F79">
        <v>2.2000000000000002</v>
      </c>
      <c r="G79">
        <v>0.38566</v>
      </c>
      <c r="H79">
        <v>3.6</v>
      </c>
      <c r="I79">
        <v>5.2492999999999998E-2</v>
      </c>
      <c r="J79">
        <v>2.9</v>
      </c>
      <c r="K79">
        <v>0.79800000000000004</v>
      </c>
      <c r="L79">
        <v>329.8</v>
      </c>
      <c r="M79">
        <v>9.1999999999999993</v>
      </c>
      <c r="N79">
        <v>331.2</v>
      </c>
      <c r="O79">
        <v>10.1</v>
      </c>
      <c r="P79">
        <v>341</v>
      </c>
      <c r="Q79">
        <v>49</v>
      </c>
      <c r="R79">
        <v>329.8</v>
      </c>
      <c r="S79">
        <v>9.1999999999999993</v>
      </c>
      <c r="T79">
        <v>96.7</v>
      </c>
      <c r="AS79" t="s">
        <v>409</v>
      </c>
      <c r="AT79">
        <v>1234</v>
      </c>
      <c r="AU79">
        <v>87173</v>
      </c>
      <c r="AV79">
        <v>1.64</v>
      </c>
      <c r="AW79">
        <v>13.089</v>
      </c>
      <c r="AX79">
        <v>2</v>
      </c>
      <c r="AY79">
        <v>1.97661</v>
      </c>
      <c r="AZ79">
        <v>3.1</v>
      </c>
      <c r="BA79">
        <v>0.187724</v>
      </c>
      <c r="BB79">
        <v>2.4</v>
      </c>
      <c r="BC79">
        <v>0.78100000000000003</v>
      </c>
      <c r="BD79">
        <v>1109</v>
      </c>
      <c r="BE79">
        <v>24.9</v>
      </c>
      <c r="BF79">
        <v>1107.5999999999999</v>
      </c>
      <c r="BG79">
        <v>21.1</v>
      </c>
      <c r="BH79">
        <v>1104.7</v>
      </c>
      <c r="BI79">
        <v>39.1</v>
      </c>
      <c r="BJ79">
        <v>1104.7</v>
      </c>
      <c r="BK79">
        <v>39.1</v>
      </c>
      <c r="BL79">
        <v>100.4</v>
      </c>
    </row>
    <row r="80" spans="1:64" x14ac:dyDescent="0.2">
      <c r="A80" t="s">
        <v>73</v>
      </c>
      <c r="B80">
        <v>1357</v>
      </c>
      <c r="C80">
        <v>501793</v>
      </c>
      <c r="D80">
        <v>0.59</v>
      </c>
      <c r="E80">
        <v>18.579899999999999</v>
      </c>
      <c r="F80">
        <v>2</v>
      </c>
      <c r="G80">
        <v>0.39821000000000001</v>
      </c>
      <c r="H80">
        <v>3.3</v>
      </c>
      <c r="I80">
        <v>5.3684000000000003E-2</v>
      </c>
      <c r="J80">
        <v>2.6</v>
      </c>
      <c r="K80">
        <v>0.79800000000000004</v>
      </c>
      <c r="L80">
        <v>337.1</v>
      </c>
      <c r="M80">
        <v>8.6999999999999993</v>
      </c>
      <c r="N80">
        <v>340.3</v>
      </c>
      <c r="O80">
        <v>9.6</v>
      </c>
      <c r="P80">
        <v>362.6</v>
      </c>
      <c r="Q80">
        <v>45</v>
      </c>
      <c r="R80">
        <v>337.1</v>
      </c>
      <c r="S80">
        <v>8.6999999999999993</v>
      </c>
      <c r="T80">
        <v>93</v>
      </c>
      <c r="AS80" t="s">
        <v>410</v>
      </c>
      <c r="AT80">
        <v>1401</v>
      </c>
      <c r="AU80">
        <v>79071</v>
      </c>
      <c r="AV80">
        <v>5.04</v>
      </c>
      <c r="AW80">
        <v>16.96</v>
      </c>
      <c r="AX80">
        <v>1.7</v>
      </c>
      <c r="AY80">
        <v>0.72958000000000001</v>
      </c>
      <c r="AZ80">
        <v>2.8</v>
      </c>
      <c r="BA80">
        <v>8.9783000000000002E-2</v>
      </c>
      <c r="BB80">
        <v>2.2000000000000002</v>
      </c>
      <c r="BC80">
        <v>0.78300000000000003</v>
      </c>
      <c r="BD80">
        <v>554.29999999999995</v>
      </c>
      <c r="BE80">
        <v>11.7</v>
      </c>
      <c r="BF80">
        <v>556.29999999999995</v>
      </c>
      <c r="BG80">
        <v>12</v>
      </c>
      <c r="BH80">
        <v>564.70000000000005</v>
      </c>
      <c r="BI80">
        <v>38</v>
      </c>
      <c r="BJ80">
        <v>554.29999999999995</v>
      </c>
      <c r="BK80">
        <v>11.7</v>
      </c>
      <c r="BL80">
        <v>98.2</v>
      </c>
    </row>
    <row r="81" spans="1:64" x14ac:dyDescent="0.2">
      <c r="A81" t="s">
        <v>74</v>
      </c>
      <c r="B81">
        <v>850</v>
      </c>
      <c r="C81">
        <v>29432</v>
      </c>
      <c r="D81">
        <v>0.6</v>
      </c>
      <c r="E81">
        <v>18.116800000000001</v>
      </c>
      <c r="F81">
        <v>3.2</v>
      </c>
      <c r="G81">
        <v>0.39573999999999998</v>
      </c>
      <c r="H81">
        <v>4.4000000000000004</v>
      </c>
      <c r="I81">
        <v>5.2021999999999999E-2</v>
      </c>
      <c r="J81">
        <v>3.1</v>
      </c>
      <c r="K81">
        <v>0.70299999999999996</v>
      </c>
      <c r="L81">
        <v>326.89999999999998</v>
      </c>
      <c r="M81">
        <v>10</v>
      </c>
      <c r="N81">
        <v>338.6</v>
      </c>
      <c r="O81">
        <v>12.8</v>
      </c>
      <c r="P81">
        <v>419.2</v>
      </c>
      <c r="Q81">
        <v>70.7</v>
      </c>
      <c r="R81">
        <v>326.89999999999998</v>
      </c>
      <c r="S81">
        <v>10</v>
      </c>
      <c r="T81">
        <v>78</v>
      </c>
      <c r="AS81" t="s">
        <v>411</v>
      </c>
      <c r="AT81">
        <v>204</v>
      </c>
      <c r="AU81">
        <v>6051</v>
      </c>
      <c r="AV81">
        <v>1.36</v>
      </c>
      <c r="AW81">
        <v>18.3355</v>
      </c>
      <c r="AX81">
        <v>8</v>
      </c>
      <c r="AY81">
        <v>0.48830000000000001</v>
      </c>
      <c r="AZ81">
        <v>9</v>
      </c>
      <c r="BA81">
        <v>6.4963999999999994E-2</v>
      </c>
      <c r="BB81">
        <v>4.3</v>
      </c>
      <c r="BC81">
        <v>0.47299999999999998</v>
      </c>
      <c r="BD81">
        <v>405.7</v>
      </c>
      <c r="BE81">
        <v>16.8</v>
      </c>
      <c r="BF81">
        <v>403.7</v>
      </c>
      <c r="BG81">
        <v>30.1</v>
      </c>
      <c r="BH81">
        <v>392.3</v>
      </c>
      <c r="BI81">
        <v>178.7</v>
      </c>
      <c r="BJ81">
        <v>405.7</v>
      </c>
      <c r="BK81">
        <v>16.8</v>
      </c>
      <c r="BL81">
        <v>103.4</v>
      </c>
    </row>
    <row r="82" spans="1:64" x14ac:dyDescent="0.2">
      <c r="A82" t="s">
        <v>75</v>
      </c>
      <c r="B82">
        <v>3042</v>
      </c>
      <c r="C82">
        <v>43830</v>
      </c>
      <c r="D82">
        <v>0.42</v>
      </c>
      <c r="E82">
        <v>18.784500000000001</v>
      </c>
      <c r="F82">
        <v>2.2000000000000002</v>
      </c>
      <c r="G82">
        <v>0.38884000000000002</v>
      </c>
      <c r="H82">
        <v>3.1</v>
      </c>
      <c r="I82">
        <v>5.2998999999999998E-2</v>
      </c>
      <c r="J82">
        <v>2.2999999999999998</v>
      </c>
      <c r="K82">
        <v>0.71599999999999997</v>
      </c>
      <c r="L82">
        <v>332.9</v>
      </c>
      <c r="M82">
        <v>7.3</v>
      </c>
      <c r="N82">
        <v>333.5</v>
      </c>
      <c r="O82">
        <v>9</v>
      </c>
      <c r="P82">
        <v>337.8</v>
      </c>
      <c r="Q82">
        <v>49.8</v>
      </c>
      <c r="R82">
        <v>332.9</v>
      </c>
      <c r="S82">
        <v>7.3</v>
      </c>
      <c r="T82">
        <v>98.5</v>
      </c>
      <c r="AS82" t="s">
        <v>412</v>
      </c>
      <c r="AT82">
        <v>276</v>
      </c>
      <c r="AU82">
        <v>35028</v>
      </c>
      <c r="AV82">
        <v>2.15</v>
      </c>
      <c r="AW82">
        <v>13.2806</v>
      </c>
      <c r="AX82">
        <v>2.2999999999999998</v>
      </c>
      <c r="AY82">
        <v>1.92889</v>
      </c>
      <c r="AZ82">
        <v>4.0999999999999996</v>
      </c>
      <c r="BA82">
        <v>0.18587400000000001</v>
      </c>
      <c r="BB82">
        <v>3.4</v>
      </c>
      <c r="BC82">
        <v>0.82899999999999996</v>
      </c>
      <c r="BD82">
        <v>1099</v>
      </c>
      <c r="BE82">
        <v>34.700000000000003</v>
      </c>
      <c r="BF82">
        <v>1091.2</v>
      </c>
      <c r="BG82">
        <v>27.7</v>
      </c>
      <c r="BH82">
        <v>1075.5999999999999</v>
      </c>
      <c r="BI82">
        <v>46.5</v>
      </c>
      <c r="BJ82">
        <v>1075.5999999999999</v>
      </c>
      <c r="BK82">
        <v>46.5</v>
      </c>
      <c r="BL82">
        <v>102.2</v>
      </c>
    </row>
    <row r="83" spans="1:64" x14ac:dyDescent="0.2">
      <c r="A83" t="s">
        <v>76</v>
      </c>
      <c r="B83">
        <v>1426</v>
      </c>
      <c r="C83">
        <v>19601</v>
      </c>
      <c r="D83">
        <v>0.56000000000000005</v>
      </c>
      <c r="E83">
        <v>17.558199999999999</v>
      </c>
      <c r="F83">
        <v>4.5</v>
      </c>
      <c r="G83">
        <v>0.40781000000000001</v>
      </c>
      <c r="H83">
        <v>5.0999999999999996</v>
      </c>
      <c r="I83">
        <v>5.1956000000000002E-2</v>
      </c>
      <c r="J83">
        <v>2.4</v>
      </c>
      <c r="K83">
        <v>0.47399999999999998</v>
      </c>
      <c r="L83">
        <v>326.5</v>
      </c>
      <c r="M83">
        <v>7.8</v>
      </c>
      <c r="N83">
        <v>347.3</v>
      </c>
      <c r="O83">
        <v>15.1</v>
      </c>
      <c r="P83">
        <v>488.7</v>
      </c>
      <c r="Q83">
        <v>99.7</v>
      </c>
      <c r="R83">
        <v>326.5</v>
      </c>
      <c r="S83">
        <v>7.8</v>
      </c>
      <c r="T83">
        <v>66.8</v>
      </c>
      <c r="AS83" t="s">
        <v>413</v>
      </c>
      <c r="AT83">
        <v>1237</v>
      </c>
      <c r="AU83">
        <v>48511</v>
      </c>
      <c r="AV83">
        <v>5.33</v>
      </c>
      <c r="AW83">
        <v>16.950500000000002</v>
      </c>
      <c r="AX83">
        <v>1.8</v>
      </c>
      <c r="AY83">
        <v>0.73124999999999996</v>
      </c>
      <c r="AZ83">
        <v>2.8</v>
      </c>
      <c r="BA83">
        <v>8.9938000000000004E-2</v>
      </c>
      <c r="BB83">
        <v>2.1</v>
      </c>
      <c r="BC83">
        <v>0.76100000000000001</v>
      </c>
      <c r="BD83">
        <v>555.20000000000005</v>
      </c>
      <c r="BE83">
        <v>11.4</v>
      </c>
      <c r="BF83">
        <v>557.29999999999995</v>
      </c>
      <c r="BG83">
        <v>12.1</v>
      </c>
      <c r="BH83">
        <v>566</v>
      </c>
      <c r="BI83">
        <v>39.799999999999997</v>
      </c>
      <c r="BJ83">
        <v>555.20000000000005</v>
      </c>
      <c r="BK83">
        <v>11.4</v>
      </c>
      <c r="BL83">
        <v>98.1</v>
      </c>
    </row>
    <row r="84" spans="1:64" x14ac:dyDescent="0.2">
      <c r="A84" t="s">
        <v>77</v>
      </c>
      <c r="B84">
        <v>1081</v>
      </c>
      <c r="C84">
        <v>21291</v>
      </c>
      <c r="D84">
        <v>0.53</v>
      </c>
      <c r="E84">
        <v>18.708100000000002</v>
      </c>
      <c r="F84">
        <v>2.9</v>
      </c>
      <c r="G84">
        <v>0.39710000000000001</v>
      </c>
      <c r="H84">
        <v>4.0999999999999996</v>
      </c>
      <c r="I84">
        <v>5.3904000000000001E-2</v>
      </c>
      <c r="J84">
        <v>2.8</v>
      </c>
      <c r="K84">
        <v>0.69499999999999995</v>
      </c>
      <c r="L84">
        <v>338.4</v>
      </c>
      <c r="M84">
        <v>9.4</v>
      </c>
      <c r="N84">
        <v>339.5</v>
      </c>
      <c r="O84">
        <v>11.8</v>
      </c>
      <c r="P84">
        <v>347.1</v>
      </c>
      <c r="Q84">
        <v>66.3</v>
      </c>
      <c r="R84">
        <v>338.4</v>
      </c>
      <c r="S84">
        <v>9.4</v>
      </c>
      <c r="T84">
        <v>97.5</v>
      </c>
      <c r="AS84" t="s">
        <v>414</v>
      </c>
      <c r="AT84">
        <v>173</v>
      </c>
      <c r="AU84">
        <v>47708</v>
      </c>
      <c r="AV84">
        <v>2.4700000000000002</v>
      </c>
      <c r="AW84">
        <v>13.0212</v>
      </c>
      <c r="AX84">
        <v>3.9</v>
      </c>
      <c r="AY84">
        <v>1.9923200000000001</v>
      </c>
      <c r="AZ84">
        <v>6.1</v>
      </c>
      <c r="BA84">
        <v>0.18823599999999999</v>
      </c>
      <c r="BB84">
        <v>4.7</v>
      </c>
      <c r="BC84">
        <v>0.77300000000000002</v>
      </c>
      <c r="BD84">
        <v>1111.8</v>
      </c>
      <c r="BE84">
        <v>48.5</v>
      </c>
      <c r="BF84">
        <v>1112.9000000000001</v>
      </c>
      <c r="BG84">
        <v>41.5</v>
      </c>
      <c r="BH84">
        <v>1115.0999999999999</v>
      </c>
      <c r="BI84">
        <v>77.7</v>
      </c>
      <c r="BJ84">
        <v>1115.0999999999999</v>
      </c>
      <c r="BK84">
        <v>77.7</v>
      </c>
      <c r="BL84">
        <v>99.7</v>
      </c>
    </row>
    <row r="85" spans="1:64" x14ac:dyDescent="0.2">
      <c r="A85" t="s">
        <v>78</v>
      </c>
      <c r="B85">
        <v>1754</v>
      </c>
      <c r="C85">
        <v>12385</v>
      </c>
      <c r="D85">
        <v>0.54</v>
      </c>
      <c r="E85">
        <v>15.7437</v>
      </c>
      <c r="F85">
        <v>11.2</v>
      </c>
      <c r="G85">
        <v>0.47592000000000001</v>
      </c>
      <c r="H85">
        <v>11.6</v>
      </c>
      <c r="I85">
        <v>5.4366999999999999E-2</v>
      </c>
      <c r="J85">
        <v>3.1</v>
      </c>
      <c r="K85">
        <v>0.26500000000000001</v>
      </c>
      <c r="L85">
        <v>341.3</v>
      </c>
      <c r="M85">
        <v>10.199999999999999</v>
      </c>
      <c r="N85">
        <v>395.3</v>
      </c>
      <c r="O85">
        <v>38</v>
      </c>
      <c r="P85">
        <v>724.6</v>
      </c>
      <c r="Q85">
        <v>237.6</v>
      </c>
      <c r="R85">
        <v>341.3</v>
      </c>
      <c r="S85">
        <v>10.199999999999999</v>
      </c>
      <c r="T85">
        <v>47.1</v>
      </c>
      <c r="AS85" t="s">
        <v>415</v>
      </c>
      <c r="AT85">
        <v>1262</v>
      </c>
      <c r="AU85">
        <v>1067508</v>
      </c>
      <c r="AV85">
        <v>5.17</v>
      </c>
      <c r="AW85">
        <v>16.7498</v>
      </c>
      <c r="AX85">
        <v>1.9</v>
      </c>
      <c r="AY85">
        <v>0.73912</v>
      </c>
      <c r="AZ85">
        <v>3.5</v>
      </c>
      <c r="BA85">
        <v>8.9829000000000006E-2</v>
      </c>
      <c r="BB85">
        <v>3</v>
      </c>
      <c r="BC85">
        <v>0.84199999999999997</v>
      </c>
      <c r="BD85">
        <v>554.5</v>
      </c>
      <c r="BE85">
        <v>15.8</v>
      </c>
      <c r="BF85">
        <v>561.9</v>
      </c>
      <c r="BG85">
        <v>15.2</v>
      </c>
      <c r="BH85">
        <v>591.79999999999995</v>
      </c>
      <c r="BI85">
        <v>41.3</v>
      </c>
      <c r="BJ85">
        <v>554.5</v>
      </c>
      <c r="BK85">
        <v>15.8</v>
      </c>
      <c r="BL85">
        <v>93.7</v>
      </c>
    </row>
    <row r="86" spans="1:64" x14ac:dyDescent="0.2">
      <c r="A86" t="s">
        <v>79</v>
      </c>
      <c r="B86">
        <v>552</v>
      </c>
      <c r="C86">
        <v>34079</v>
      </c>
      <c r="D86">
        <v>0.92</v>
      </c>
      <c r="E86">
        <v>18.375900000000001</v>
      </c>
      <c r="F86">
        <v>3.3</v>
      </c>
      <c r="G86">
        <v>0.41692000000000001</v>
      </c>
      <c r="H86">
        <v>3.9</v>
      </c>
      <c r="I86">
        <v>5.5590000000000001E-2</v>
      </c>
      <c r="J86">
        <v>2.2000000000000002</v>
      </c>
      <c r="K86">
        <v>0.55000000000000004</v>
      </c>
      <c r="L86">
        <v>348.7</v>
      </c>
      <c r="M86">
        <v>7.4</v>
      </c>
      <c r="N86">
        <v>353.8</v>
      </c>
      <c r="O86">
        <v>11.8</v>
      </c>
      <c r="P86">
        <v>387.4</v>
      </c>
      <c r="Q86">
        <v>73.8</v>
      </c>
      <c r="R86">
        <v>348.7</v>
      </c>
      <c r="S86">
        <v>7.4</v>
      </c>
      <c r="T86">
        <v>90</v>
      </c>
      <c r="AS86" t="s">
        <v>416</v>
      </c>
      <c r="AT86">
        <v>414</v>
      </c>
      <c r="AU86">
        <v>51698</v>
      </c>
      <c r="AV86">
        <v>1.59</v>
      </c>
      <c r="AW86">
        <v>13.1031</v>
      </c>
      <c r="AX86">
        <v>2.2000000000000002</v>
      </c>
      <c r="AY86">
        <v>1.92672</v>
      </c>
      <c r="AZ86">
        <v>3.8</v>
      </c>
      <c r="BA86">
        <v>0.18318400000000001</v>
      </c>
      <c r="BB86">
        <v>3.1</v>
      </c>
      <c r="BC86">
        <v>0.81</v>
      </c>
      <c r="BD86">
        <v>1084.3</v>
      </c>
      <c r="BE86">
        <v>30.9</v>
      </c>
      <c r="BF86">
        <v>1090.4000000000001</v>
      </c>
      <c r="BG86">
        <v>25.6</v>
      </c>
      <c r="BH86">
        <v>1102.5</v>
      </c>
      <c r="BI86">
        <v>44.8</v>
      </c>
      <c r="BJ86">
        <v>1102.5</v>
      </c>
      <c r="BK86">
        <v>44.8</v>
      </c>
      <c r="BL86">
        <v>98.3</v>
      </c>
    </row>
    <row r="87" spans="1:64" x14ac:dyDescent="0.2">
      <c r="A87" t="s">
        <v>80</v>
      </c>
      <c r="B87">
        <v>1684</v>
      </c>
      <c r="C87">
        <v>62952</v>
      </c>
      <c r="D87">
        <v>0.63</v>
      </c>
      <c r="E87">
        <v>17.8688</v>
      </c>
      <c r="F87">
        <v>4.3</v>
      </c>
      <c r="G87">
        <v>0.41263</v>
      </c>
      <c r="H87">
        <v>4.8</v>
      </c>
      <c r="I87">
        <v>5.3498999999999998E-2</v>
      </c>
      <c r="J87">
        <v>2.2000000000000002</v>
      </c>
      <c r="K87">
        <v>0.45500000000000002</v>
      </c>
      <c r="L87">
        <v>336</v>
      </c>
      <c r="M87">
        <v>7.2</v>
      </c>
      <c r="N87">
        <v>350.8</v>
      </c>
      <c r="O87">
        <v>14.3</v>
      </c>
      <c r="P87">
        <v>449.9</v>
      </c>
      <c r="Q87">
        <v>95.5</v>
      </c>
      <c r="R87">
        <v>336</v>
      </c>
      <c r="S87">
        <v>7.2</v>
      </c>
      <c r="T87">
        <v>74.7</v>
      </c>
      <c r="AS87" t="s">
        <v>417</v>
      </c>
      <c r="AT87">
        <v>1272</v>
      </c>
      <c r="AU87">
        <v>33925</v>
      </c>
      <c r="AV87">
        <v>5.1100000000000003</v>
      </c>
      <c r="AW87">
        <v>17.2669</v>
      </c>
      <c r="AX87">
        <v>2.4</v>
      </c>
      <c r="AY87">
        <v>0.72152000000000005</v>
      </c>
      <c r="AZ87">
        <v>3.6</v>
      </c>
      <c r="BA87">
        <v>9.0398000000000006E-2</v>
      </c>
      <c r="BB87">
        <v>2.7</v>
      </c>
      <c r="BC87">
        <v>0.752</v>
      </c>
      <c r="BD87">
        <v>557.9</v>
      </c>
      <c r="BE87">
        <v>14.6</v>
      </c>
      <c r="BF87">
        <v>551.6</v>
      </c>
      <c r="BG87">
        <v>15.4</v>
      </c>
      <c r="BH87">
        <v>525.6</v>
      </c>
      <c r="BI87">
        <v>52.4</v>
      </c>
      <c r="BJ87">
        <v>557.9</v>
      </c>
      <c r="BK87">
        <v>14.6</v>
      </c>
      <c r="BL87">
        <v>106.1</v>
      </c>
    </row>
    <row r="88" spans="1:64" x14ac:dyDescent="0.2">
      <c r="A88" t="s">
        <v>81</v>
      </c>
      <c r="B88">
        <v>1151</v>
      </c>
      <c r="C88">
        <v>466697</v>
      </c>
      <c r="D88">
        <v>0.67</v>
      </c>
      <c r="E88">
        <v>18.607500000000002</v>
      </c>
      <c r="F88">
        <v>2.5</v>
      </c>
      <c r="G88">
        <v>0.40305000000000002</v>
      </c>
      <c r="H88">
        <v>3.4</v>
      </c>
      <c r="I88">
        <v>5.4417E-2</v>
      </c>
      <c r="J88">
        <v>2.2999999999999998</v>
      </c>
      <c r="K88">
        <v>0.66600000000000004</v>
      </c>
      <c r="L88">
        <v>341.6</v>
      </c>
      <c r="M88">
        <v>7.6</v>
      </c>
      <c r="N88">
        <v>343.9</v>
      </c>
      <c r="O88">
        <v>10</v>
      </c>
      <c r="P88">
        <v>359.2</v>
      </c>
      <c r="Q88">
        <v>57.5</v>
      </c>
      <c r="R88">
        <v>341.6</v>
      </c>
      <c r="S88">
        <v>7.6</v>
      </c>
      <c r="T88">
        <v>95.1</v>
      </c>
      <c r="AS88" t="s">
        <v>418</v>
      </c>
      <c r="AT88">
        <v>684</v>
      </c>
      <c r="AU88">
        <v>29124</v>
      </c>
      <c r="AV88">
        <v>1.41</v>
      </c>
      <c r="AW88">
        <v>13.2395</v>
      </c>
      <c r="AX88">
        <v>2.1</v>
      </c>
      <c r="AY88">
        <v>1.9632000000000001</v>
      </c>
      <c r="AZ88">
        <v>3.2</v>
      </c>
      <c r="BA88">
        <v>0.18859400000000001</v>
      </c>
      <c r="BB88">
        <v>2.4</v>
      </c>
      <c r="BC88">
        <v>0.76300000000000001</v>
      </c>
      <c r="BD88">
        <v>1113.8</v>
      </c>
      <c r="BE88">
        <v>24.8</v>
      </c>
      <c r="BF88">
        <v>1103</v>
      </c>
      <c r="BG88">
        <v>21.4</v>
      </c>
      <c r="BH88">
        <v>1081.8</v>
      </c>
      <c r="BI88">
        <v>41.2</v>
      </c>
      <c r="BJ88">
        <v>1081.8</v>
      </c>
      <c r="BK88">
        <v>41.2</v>
      </c>
      <c r="BL88">
        <v>103</v>
      </c>
    </row>
    <row r="89" spans="1:64" x14ac:dyDescent="0.2">
      <c r="A89" t="s">
        <v>82</v>
      </c>
      <c r="B89">
        <v>3506</v>
      </c>
      <c r="C89">
        <v>33827</v>
      </c>
      <c r="D89">
        <v>0.35</v>
      </c>
      <c r="E89">
        <v>17.976800000000001</v>
      </c>
      <c r="F89">
        <v>2.6</v>
      </c>
      <c r="G89">
        <v>0.40894000000000003</v>
      </c>
      <c r="H89">
        <v>3.5</v>
      </c>
      <c r="I89">
        <v>5.3341E-2</v>
      </c>
      <c r="J89">
        <v>2.4</v>
      </c>
      <c r="K89">
        <v>0.67900000000000005</v>
      </c>
      <c r="L89">
        <v>335</v>
      </c>
      <c r="M89">
        <v>7.8</v>
      </c>
      <c r="N89">
        <v>348.1</v>
      </c>
      <c r="O89">
        <v>10.4</v>
      </c>
      <c r="P89">
        <v>436.5</v>
      </c>
      <c r="Q89">
        <v>57.5</v>
      </c>
      <c r="R89">
        <v>335</v>
      </c>
      <c r="S89">
        <v>7.8</v>
      </c>
      <c r="T89">
        <v>76.7</v>
      </c>
      <c r="AS89" t="s">
        <v>419</v>
      </c>
      <c r="AT89">
        <v>1521</v>
      </c>
      <c r="AU89">
        <v>184539</v>
      </c>
      <c r="AV89">
        <v>1.1100000000000001</v>
      </c>
      <c r="AW89">
        <v>13.086499999999999</v>
      </c>
      <c r="AX89">
        <v>1.9</v>
      </c>
      <c r="AY89">
        <v>1.9792000000000001</v>
      </c>
      <c r="AZ89">
        <v>2.9</v>
      </c>
      <c r="BA89">
        <v>0.18793499999999999</v>
      </c>
      <c r="BB89">
        <v>2.2999999999999998</v>
      </c>
      <c r="BC89">
        <v>0.76600000000000001</v>
      </c>
      <c r="BD89">
        <v>1110.2</v>
      </c>
      <c r="BE89">
        <v>22.9</v>
      </c>
      <c r="BF89">
        <v>1108.4000000000001</v>
      </c>
      <c r="BG89">
        <v>19.8</v>
      </c>
      <c r="BH89">
        <v>1105</v>
      </c>
      <c r="BI89">
        <v>37.799999999999997</v>
      </c>
      <c r="BJ89">
        <v>1105</v>
      </c>
      <c r="BK89">
        <v>37.799999999999997</v>
      </c>
      <c r="BL89">
        <v>100.5</v>
      </c>
    </row>
    <row r="90" spans="1:64" x14ac:dyDescent="0.2">
      <c r="A90" t="s">
        <v>83</v>
      </c>
      <c r="B90">
        <v>749</v>
      </c>
      <c r="C90">
        <v>117110</v>
      </c>
      <c r="D90">
        <v>10.62</v>
      </c>
      <c r="E90">
        <v>18.686399999999999</v>
      </c>
      <c r="F90">
        <v>2.8</v>
      </c>
      <c r="G90">
        <v>0.39304</v>
      </c>
      <c r="H90">
        <v>4.4000000000000004</v>
      </c>
      <c r="I90">
        <v>5.3291999999999999E-2</v>
      </c>
      <c r="J90">
        <v>3.3</v>
      </c>
      <c r="K90">
        <v>0.76100000000000001</v>
      </c>
      <c r="L90">
        <v>334.7</v>
      </c>
      <c r="M90">
        <v>10.9</v>
      </c>
      <c r="N90">
        <v>336.6</v>
      </c>
      <c r="O90">
        <v>12.6</v>
      </c>
      <c r="P90">
        <v>349.7</v>
      </c>
      <c r="Q90">
        <v>64.400000000000006</v>
      </c>
      <c r="R90">
        <v>334.7</v>
      </c>
      <c r="S90">
        <v>10.9</v>
      </c>
      <c r="T90">
        <v>95.7</v>
      </c>
      <c r="AS90" t="s">
        <v>420</v>
      </c>
      <c r="AT90">
        <v>1078</v>
      </c>
      <c r="AU90">
        <v>76790</v>
      </c>
      <c r="AV90">
        <v>5.13</v>
      </c>
      <c r="AW90">
        <v>16.945799999999998</v>
      </c>
      <c r="AX90">
        <v>1.7</v>
      </c>
      <c r="AY90">
        <v>0.73423000000000005</v>
      </c>
      <c r="AZ90">
        <v>3.5</v>
      </c>
      <c r="BA90">
        <v>9.0278999999999998E-2</v>
      </c>
      <c r="BB90">
        <v>3.1</v>
      </c>
      <c r="BC90">
        <v>0.88200000000000001</v>
      </c>
      <c r="BD90">
        <v>557.20000000000005</v>
      </c>
      <c r="BE90">
        <v>16.600000000000001</v>
      </c>
      <c r="BF90">
        <v>559</v>
      </c>
      <c r="BG90">
        <v>15.2</v>
      </c>
      <c r="BH90">
        <v>566.6</v>
      </c>
      <c r="BI90">
        <v>36.200000000000003</v>
      </c>
      <c r="BJ90">
        <v>557.20000000000005</v>
      </c>
      <c r="BK90">
        <v>16.600000000000001</v>
      </c>
      <c r="BL90">
        <v>98.3</v>
      </c>
    </row>
    <row r="91" spans="1:64" x14ac:dyDescent="0.2">
      <c r="A91" t="s">
        <v>84</v>
      </c>
      <c r="B91">
        <v>1025</v>
      </c>
      <c r="C91">
        <v>34568</v>
      </c>
      <c r="D91">
        <v>0.59</v>
      </c>
      <c r="E91">
        <v>17.613700000000001</v>
      </c>
      <c r="F91">
        <v>5</v>
      </c>
      <c r="G91">
        <v>0.40106000000000003</v>
      </c>
      <c r="H91">
        <v>5.9</v>
      </c>
      <c r="I91">
        <v>5.1257999999999998E-2</v>
      </c>
      <c r="J91">
        <v>3.1</v>
      </c>
      <c r="K91">
        <v>0.52500000000000002</v>
      </c>
      <c r="L91">
        <v>322.2</v>
      </c>
      <c r="M91">
        <v>9.6999999999999993</v>
      </c>
      <c r="N91">
        <v>342.4</v>
      </c>
      <c r="O91">
        <v>17.100000000000001</v>
      </c>
      <c r="P91">
        <v>481.8</v>
      </c>
      <c r="Q91">
        <v>110.4</v>
      </c>
      <c r="R91">
        <v>322.2</v>
      </c>
      <c r="S91">
        <v>9.6999999999999993</v>
      </c>
      <c r="T91">
        <v>66.900000000000006</v>
      </c>
      <c r="AS91" t="s">
        <v>421</v>
      </c>
      <c r="AT91">
        <v>677</v>
      </c>
      <c r="AU91">
        <v>55591</v>
      </c>
      <c r="AV91">
        <v>1.55</v>
      </c>
      <c r="AW91">
        <v>18.0032</v>
      </c>
      <c r="AX91">
        <v>2.1</v>
      </c>
      <c r="AY91">
        <v>0.52812999999999999</v>
      </c>
      <c r="AZ91">
        <v>3.8</v>
      </c>
      <c r="BA91">
        <v>6.8989999999999996E-2</v>
      </c>
      <c r="BB91">
        <v>3.2</v>
      </c>
      <c r="BC91">
        <v>0.83899999999999997</v>
      </c>
      <c r="BD91">
        <v>430.1</v>
      </c>
      <c r="BE91">
        <v>13.2</v>
      </c>
      <c r="BF91">
        <v>430.6</v>
      </c>
      <c r="BG91">
        <v>13.3</v>
      </c>
      <c r="BH91">
        <v>433.2</v>
      </c>
      <c r="BI91">
        <v>46</v>
      </c>
      <c r="BJ91">
        <v>430.1</v>
      </c>
      <c r="BK91">
        <v>13.2</v>
      </c>
      <c r="BL91">
        <v>99.3</v>
      </c>
    </row>
    <row r="92" spans="1:64" x14ac:dyDescent="0.2">
      <c r="A92" t="s">
        <v>85</v>
      </c>
      <c r="B92">
        <v>936</v>
      </c>
      <c r="C92">
        <v>58123</v>
      </c>
      <c r="D92">
        <v>0.8</v>
      </c>
      <c r="E92">
        <v>18.5184</v>
      </c>
      <c r="F92">
        <v>3.1</v>
      </c>
      <c r="G92">
        <v>0.39482</v>
      </c>
      <c r="H92">
        <v>4.2</v>
      </c>
      <c r="I92">
        <v>5.3052000000000002E-2</v>
      </c>
      <c r="J92">
        <v>2.9</v>
      </c>
      <c r="K92">
        <v>0.67700000000000005</v>
      </c>
      <c r="L92">
        <v>333.2</v>
      </c>
      <c r="M92">
        <v>9.3000000000000007</v>
      </c>
      <c r="N92">
        <v>337.9</v>
      </c>
      <c r="O92">
        <v>12.1</v>
      </c>
      <c r="P92">
        <v>370</v>
      </c>
      <c r="Q92">
        <v>70</v>
      </c>
      <c r="R92">
        <v>333.2</v>
      </c>
      <c r="S92">
        <v>9.3000000000000007</v>
      </c>
      <c r="T92">
        <v>90.1</v>
      </c>
      <c r="AS92" t="s">
        <v>422</v>
      </c>
      <c r="AT92">
        <v>650</v>
      </c>
      <c r="AU92">
        <v>139537</v>
      </c>
      <c r="AV92">
        <v>1.55</v>
      </c>
      <c r="AW92">
        <v>13.2483</v>
      </c>
      <c r="AX92">
        <v>2.1</v>
      </c>
      <c r="AY92">
        <v>1.92561</v>
      </c>
      <c r="AZ92">
        <v>3.1</v>
      </c>
      <c r="BA92">
        <v>0.18510699999999999</v>
      </c>
      <c r="BB92">
        <v>2.2999999999999998</v>
      </c>
      <c r="BC92">
        <v>0.74099999999999999</v>
      </c>
      <c r="BD92">
        <v>1094.8</v>
      </c>
      <c r="BE92">
        <v>23.2</v>
      </c>
      <c r="BF92">
        <v>1090</v>
      </c>
      <c r="BG92">
        <v>20.8</v>
      </c>
      <c r="BH92">
        <v>1080.4000000000001</v>
      </c>
      <c r="BI92">
        <v>41.8</v>
      </c>
      <c r="BJ92">
        <v>1080.4000000000001</v>
      </c>
      <c r="BK92">
        <v>41.8</v>
      </c>
      <c r="BL92">
        <v>101.3</v>
      </c>
    </row>
    <row r="93" spans="1:64" x14ac:dyDescent="0.2">
      <c r="A93" t="s">
        <v>86</v>
      </c>
      <c r="B93">
        <v>1437</v>
      </c>
      <c r="C93">
        <v>25671</v>
      </c>
      <c r="D93">
        <v>0.69</v>
      </c>
      <c r="E93">
        <v>18.554400000000001</v>
      </c>
      <c r="F93">
        <v>2.4</v>
      </c>
      <c r="G93">
        <v>0.38607000000000002</v>
      </c>
      <c r="H93">
        <v>4.2</v>
      </c>
      <c r="I93">
        <v>5.1977000000000002E-2</v>
      </c>
      <c r="J93">
        <v>3.5</v>
      </c>
      <c r="K93">
        <v>0.81899999999999995</v>
      </c>
      <c r="L93">
        <v>326.60000000000002</v>
      </c>
      <c r="M93">
        <v>11.1</v>
      </c>
      <c r="N93">
        <v>331.5</v>
      </c>
      <c r="O93">
        <v>12</v>
      </c>
      <c r="P93">
        <v>365.7</v>
      </c>
      <c r="Q93">
        <v>54.9</v>
      </c>
      <c r="R93">
        <v>326.60000000000002</v>
      </c>
      <c r="S93">
        <v>11.1</v>
      </c>
      <c r="T93">
        <v>89.3</v>
      </c>
      <c r="AS93" t="s">
        <v>423</v>
      </c>
      <c r="AT93">
        <v>945</v>
      </c>
      <c r="AU93">
        <v>60801</v>
      </c>
      <c r="AV93">
        <v>2.09</v>
      </c>
      <c r="AW93">
        <v>18.096299999999999</v>
      </c>
      <c r="AX93">
        <v>2.1</v>
      </c>
      <c r="AY93">
        <v>0.52715999999999996</v>
      </c>
      <c r="AZ93">
        <v>3.4</v>
      </c>
      <c r="BA93">
        <v>6.9219000000000003E-2</v>
      </c>
      <c r="BB93">
        <v>2.7</v>
      </c>
      <c r="BC93">
        <v>0.79900000000000004</v>
      </c>
      <c r="BD93">
        <v>431.4</v>
      </c>
      <c r="BE93">
        <v>11.4</v>
      </c>
      <c r="BF93">
        <v>429.9</v>
      </c>
      <c r="BG93">
        <v>12</v>
      </c>
      <c r="BH93">
        <v>421.7</v>
      </c>
      <c r="BI93">
        <v>45.9</v>
      </c>
      <c r="BJ93">
        <v>431.4</v>
      </c>
      <c r="BK93">
        <v>11.4</v>
      </c>
      <c r="BL93">
        <v>102.3</v>
      </c>
    </row>
    <row r="94" spans="1:64" x14ac:dyDescent="0.2">
      <c r="A94" t="s">
        <v>87</v>
      </c>
      <c r="B94">
        <v>1675</v>
      </c>
      <c r="C94">
        <v>47843</v>
      </c>
      <c r="D94">
        <v>0.46</v>
      </c>
      <c r="E94">
        <v>18.6768</v>
      </c>
      <c r="F94">
        <v>2.6</v>
      </c>
      <c r="G94">
        <v>0.40103</v>
      </c>
      <c r="H94">
        <v>3.2</v>
      </c>
      <c r="I94">
        <v>5.4345999999999998E-2</v>
      </c>
      <c r="J94">
        <v>1.9</v>
      </c>
      <c r="K94">
        <v>0.60099999999999998</v>
      </c>
      <c r="L94">
        <v>341.1</v>
      </c>
      <c r="M94">
        <v>6.4</v>
      </c>
      <c r="N94">
        <v>342.4</v>
      </c>
      <c r="O94">
        <v>9.4</v>
      </c>
      <c r="P94">
        <v>350.8</v>
      </c>
      <c r="Q94">
        <v>58.1</v>
      </c>
      <c r="R94">
        <v>341.1</v>
      </c>
      <c r="S94">
        <v>6.4</v>
      </c>
      <c r="T94">
        <v>97.2</v>
      </c>
      <c r="AS94" t="s">
        <v>424</v>
      </c>
      <c r="AT94">
        <v>211</v>
      </c>
      <c r="AU94">
        <v>13821</v>
      </c>
      <c r="AV94">
        <v>1.25</v>
      </c>
      <c r="AW94">
        <v>18.267700000000001</v>
      </c>
      <c r="AX94">
        <v>5.6</v>
      </c>
      <c r="AY94">
        <v>0.50336000000000003</v>
      </c>
      <c r="AZ94">
        <v>7.2</v>
      </c>
      <c r="BA94">
        <v>6.6721000000000003E-2</v>
      </c>
      <c r="BB94">
        <v>4.5</v>
      </c>
      <c r="BC94">
        <v>0.627</v>
      </c>
      <c r="BD94">
        <v>416.4</v>
      </c>
      <c r="BE94">
        <v>18.100000000000001</v>
      </c>
      <c r="BF94">
        <v>414</v>
      </c>
      <c r="BG94">
        <v>24.3</v>
      </c>
      <c r="BH94">
        <v>400.6</v>
      </c>
      <c r="BI94">
        <v>124.9</v>
      </c>
      <c r="BJ94">
        <v>416.4</v>
      </c>
      <c r="BK94">
        <v>18.100000000000001</v>
      </c>
      <c r="BL94">
        <v>103.9</v>
      </c>
    </row>
    <row r="95" spans="1:64" x14ac:dyDescent="0.2">
      <c r="A95" t="s">
        <v>88</v>
      </c>
      <c r="B95">
        <v>860</v>
      </c>
      <c r="C95">
        <v>17321</v>
      </c>
      <c r="D95">
        <v>0.81</v>
      </c>
      <c r="E95">
        <v>17.855399999999999</v>
      </c>
      <c r="F95">
        <v>4.7</v>
      </c>
      <c r="G95">
        <v>0.42464000000000002</v>
      </c>
      <c r="H95">
        <v>5.4</v>
      </c>
      <c r="I95">
        <v>5.5015000000000001E-2</v>
      </c>
      <c r="J95">
        <v>2.7</v>
      </c>
      <c r="K95">
        <v>0.49299999999999999</v>
      </c>
      <c r="L95">
        <v>345.2</v>
      </c>
      <c r="M95">
        <v>8.9</v>
      </c>
      <c r="N95">
        <v>359.4</v>
      </c>
      <c r="O95">
        <v>16.3</v>
      </c>
      <c r="P95">
        <v>451.6</v>
      </c>
      <c r="Q95">
        <v>104.1</v>
      </c>
      <c r="R95">
        <v>345.2</v>
      </c>
      <c r="S95">
        <v>8.9</v>
      </c>
      <c r="T95">
        <v>76.400000000000006</v>
      </c>
      <c r="AS95" t="s">
        <v>425</v>
      </c>
      <c r="AT95">
        <v>1217</v>
      </c>
      <c r="AU95">
        <v>119810</v>
      </c>
      <c r="AV95">
        <v>5.33</v>
      </c>
      <c r="AW95">
        <v>16.767099999999999</v>
      </c>
      <c r="AX95">
        <v>2.9</v>
      </c>
      <c r="AY95">
        <v>0.73873</v>
      </c>
      <c r="AZ95">
        <v>3.6</v>
      </c>
      <c r="BA95">
        <v>8.9874999999999997E-2</v>
      </c>
      <c r="BB95">
        <v>2.2000000000000002</v>
      </c>
      <c r="BC95">
        <v>0.60499999999999998</v>
      </c>
      <c r="BD95">
        <v>554.79999999999995</v>
      </c>
      <c r="BE95">
        <v>11.6</v>
      </c>
      <c r="BF95">
        <v>561.70000000000005</v>
      </c>
      <c r="BG95">
        <v>15.6</v>
      </c>
      <c r="BH95">
        <v>589.6</v>
      </c>
      <c r="BI95">
        <v>62.3</v>
      </c>
      <c r="BJ95">
        <v>554.79999999999995</v>
      </c>
      <c r="BK95">
        <v>11.6</v>
      </c>
      <c r="BL95">
        <v>94.1</v>
      </c>
    </row>
    <row r="96" spans="1:64" x14ac:dyDescent="0.2">
      <c r="A96" t="s">
        <v>89</v>
      </c>
      <c r="B96">
        <v>3040</v>
      </c>
      <c r="C96">
        <v>52506</v>
      </c>
      <c r="D96">
        <v>2.5099999999999998</v>
      </c>
      <c r="E96">
        <v>18.5442</v>
      </c>
      <c r="F96">
        <v>2.1</v>
      </c>
      <c r="G96">
        <v>0.39206999999999997</v>
      </c>
      <c r="H96">
        <v>3.3</v>
      </c>
      <c r="I96">
        <v>5.2755999999999997E-2</v>
      </c>
      <c r="J96">
        <v>2.5</v>
      </c>
      <c r="K96">
        <v>0.75700000000000001</v>
      </c>
      <c r="L96">
        <v>331.4</v>
      </c>
      <c r="M96">
        <v>8</v>
      </c>
      <c r="N96">
        <v>335.9</v>
      </c>
      <c r="O96">
        <v>9.4</v>
      </c>
      <c r="P96">
        <v>366.9</v>
      </c>
      <c r="Q96">
        <v>48.4</v>
      </c>
      <c r="R96">
        <v>331.4</v>
      </c>
      <c r="S96">
        <v>8</v>
      </c>
      <c r="T96">
        <v>90.3</v>
      </c>
      <c r="AS96" t="s">
        <v>426</v>
      </c>
      <c r="AT96">
        <v>1223</v>
      </c>
      <c r="AU96">
        <v>75268</v>
      </c>
      <c r="AV96">
        <v>5.29</v>
      </c>
      <c r="AW96">
        <v>17.034300000000002</v>
      </c>
      <c r="AX96">
        <v>1.5</v>
      </c>
      <c r="AY96">
        <v>0.73319000000000001</v>
      </c>
      <c r="AZ96">
        <v>2.9</v>
      </c>
      <c r="BA96">
        <v>9.0621999999999994E-2</v>
      </c>
      <c r="BB96">
        <v>2.5</v>
      </c>
      <c r="BC96">
        <v>0.85199999999999998</v>
      </c>
      <c r="BD96">
        <v>559.20000000000005</v>
      </c>
      <c r="BE96">
        <v>13.3</v>
      </c>
      <c r="BF96">
        <v>558.4</v>
      </c>
      <c r="BG96">
        <v>12.6</v>
      </c>
      <c r="BH96">
        <v>555.20000000000005</v>
      </c>
      <c r="BI96">
        <v>33.5</v>
      </c>
      <c r="BJ96">
        <v>559.20000000000005</v>
      </c>
      <c r="BK96">
        <v>13.3</v>
      </c>
      <c r="BL96">
        <v>100.7</v>
      </c>
    </row>
    <row r="97" spans="1:64" x14ac:dyDescent="0.2">
      <c r="A97" t="s">
        <v>90</v>
      </c>
      <c r="B97">
        <v>1944</v>
      </c>
      <c r="C97">
        <v>79690</v>
      </c>
      <c r="D97">
        <v>0.49</v>
      </c>
      <c r="E97">
        <v>18.7744</v>
      </c>
      <c r="F97">
        <v>2.2000000000000002</v>
      </c>
      <c r="G97">
        <v>0.39578000000000002</v>
      </c>
      <c r="H97">
        <v>3.1</v>
      </c>
      <c r="I97">
        <v>5.3915999999999999E-2</v>
      </c>
      <c r="J97">
        <v>2.1</v>
      </c>
      <c r="K97">
        <v>0.69199999999999995</v>
      </c>
      <c r="L97">
        <v>338.5</v>
      </c>
      <c r="M97">
        <v>7</v>
      </c>
      <c r="N97">
        <v>338.6</v>
      </c>
      <c r="O97">
        <v>8.8000000000000007</v>
      </c>
      <c r="P97">
        <v>339.1</v>
      </c>
      <c r="Q97">
        <v>50.1</v>
      </c>
      <c r="R97">
        <v>338.5</v>
      </c>
      <c r="S97">
        <v>7</v>
      </c>
      <c r="T97">
        <v>99.8</v>
      </c>
      <c r="AS97" t="s">
        <v>427</v>
      </c>
      <c r="AT97">
        <v>304</v>
      </c>
      <c r="AU97">
        <v>11866</v>
      </c>
      <c r="AV97">
        <v>2</v>
      </c>
      <c r="AW97">
        <v>13.257899999999999</v>
      </c>
      <c r="AX97">
        <v>3.2</v>
      </c>
      <c r="AY97">
        <v>1.9369499999999999</v>
      </c>
      <c r="AZ97">
        <v>4.4000000000000004</v>
      </c>
      <c r="BA97">
        <v>0.186333</v>
      </c>
      <c r="BB97">
        <v>3.1</v>
      </c>
      <c r="BC97">
        <v>0.69</v>
      </c>
      <c r="BD97">
        <v>1101.5</v>
      </c>
      <c r="BE97">
        <v>31</v>
      </c>
      <c r="BF97">
        <v>1093.9000000000001</v>
      </c>
      <c r="BG97">
        <v>29.7</v>
      </c>
      <c r="BH97">
        <v>1079</v>
      </c>
      <c r="BI97">
        <v>64.400000000000006</v>
      </c>
      <c r="BJ97">
        <v>1079</v>
      </c>
      <c r="BK97">
        <v>64.400000000000006</v>
      </c>
      <c r="BL97">
        <v>102.1</v>
      </c>
    </row>
    <row r="98" spans="1:64" x14ac:dyDescent="0.2">
      <c r="A98" t="s">
        <v>91</v>
      </c>
      <c r="B98">
        <v>1441</v>
      </c>
      <c r="C98">
        <v>75261</v>
      </c>
      <c r="D98">
        <v>0.59</v>
      </c>
      <c r="E98">
        <v>18.631499999999999</v>
      </c>
      <c r="F98">
        <v>2.6</v>
      </c>
      <c r="G98">
        <v>0.38878000000000001</v>
      </c>
      <c r="H98">
        <v>3.5</v>
      </c>
      <c r="I98">
        <v>5.2559000000000002E-2</v>
      </c>
      <c r="J98">
        <v>2.4</v>
      </c>
      <c r="K98">
        <v>0.68400000000000005</v>
      </c>
      <c r="L98">
        <v>330.2</v>
      </c>
      <c r="M98">
        <v>7.7</v>
      </c>
      <c r="N98">
        <v>333.5</v>
      </c>
      <c r="O98">
        <v>10</v>
      </c>
      <c r="P98">
        <v>356.3</v>
      </c>
      <c r="Q98">
        <v>57.9</v>
      </c>
      <c r="R98">
        <v>330.2</v>
      </c>
      <c r="S98">
        <v>7.7</v>
      </c>
      <c r="T98">
        <v>92.7</v>
      </c>
      <c r="AS98" t="s">
        <v>428</v>
      </c>
      <c r="AT98">
        <v>585</v>
      </c>
      <c r="AU98">
        <v>16999</v>
      </c>
      <c r="AV98">
        <v>2.5299999999999998</v>
      </c>
      <c r="AW98">
        <v>13.205399999999999</v>
      </c>
      <c r="AX98">
        <v>2</v>
      </c>
      <c r="AY98">
        <v>1.91377</v>
      </c>
      <c r="AZ98">
        <v>4</v>
      </c>
      <c r="BA98">
        <v>0.18337300000000001</v>
      </c>
      <c r="BB98">
        <v>3.5</v>
      </c>
      <c r="BC98">
        <v>0.874</v>
      </c>
      <c r="BD98">
        <v>1085.4000000000001</v>
      </c>
      <c r="BE98">
        <v>35.200000000000003</v>
      </c>
      <c r="BF98">
        <v>1085.9000000000001</v>
      </c>
      <c r="BG98">
        <v>26.9</v>
      </c>
      <c r="BH98">
        <v>1086.9000000000001</v>
      </c>
      <c r="BI98">
        <v>39.200000000000003</v>
      </c>
      <c r="BJ98">
        <v>1086.9000000000001</v>
      </c>
      <c r="BK98">
        <v>39.200000000000003</v>
      </c>
      <c r="BL98">
        <v>99.9</v>
      </c>
    </row>
    <row r="99" spans="1:64" x14ac:dyDescent="0.2">
      <c r="A99" t="s">
        <v>92</v>
      </c>
      <c r="B99">
        <v>232</v>
      </c>
      <c r="C99">
        <v>9087</v>
      </c>
      <c r="D99">
        <v>2.06</v>
      </c>
      <c r="E99">
        <v>13.362</v>
      </c>
      <c r="F99">
        <v>22.2</v>
      </c>
      <c r="G99">
        <v>0.54486999999999997</v>
      </c>
      <c r="H99">
        <v>23</v>
      </c>
      <c r="I99">
        <v>5.2828E-2</v>
      </c>
      <c r="J99">
        <v>6.1</v>
      </c>
      <c r="K99">
        <v>0.26500000000000001</v>
      </c>
      <c r="L99">
        <v>331.9</v>
      </c>
      <c r="M99">
        <v>19.7</v>
      </c>
      <c r="N99">
        <v>441.6</v>
      </c>
      <c r="O99">
        <v>82.3</v>
      </c>
      <c r="P99">
        <v>1063.3</v>
      </c>
      <c r="Q99">
        <v>447</v>
      </c>
      <c r="R99">
        <v>331.9</v>
      </c>
      <c r="S99">
        <v>19.7</v>
      </c>
      <c r="T99">
        <v>31.2</v>
      </c>
      <c r="AS99" t="s">
        <v>429</v>
      </c>
      <c r="AT99">
        <v>770</v>
      </c>
      <c r="AU99">
        <v>89540</v>
      </c>
      <c r="AV99">
        <v>1.55</v>
      </c>
      <c r="AW99">
        <v>13.1783</v>
      </c>
      <c r="AX99">
        <v>1.8</v>
      </c>
      <c r="AY99">
        <v>1.9459299999999999</v>
      </c>
      <c r="AZ99">
        <v>3.2</v>
      </c>
      <c r="BA99">
        <v>0.18607199999999999</v>
      </c>
      <c r="BB99">
        <v>2.7</v>
      </c>
      <c r="BC99">
        <v>0.82799999999999996</v>
      </c>
      <c r="BD99">
        <v>1100.0999999999999</v>
      </c>
      <c r="BE99">
        <v>26.9</v>
      </c>
      <c r="BF99">
        <v>1097</v>
      </c>
      <c r="BG99">
        <v>21.5</v>
      </c>
      <c r="BH99">
        <v>1091.0999999999999</v>
      </c>
      <c r="BI99">
        <v>36</v>
      </c>
      <c r="BJ99">
        <v>1091.0999999999999</v>
      </c>
      <c r="BK99">
        <v>36</v>
      </c>
      <c r="BL99">
        <v>100.8</v>
      </c>
    </row>
    <row r="100" spans="1:64" x14ac:dyDescent="0.2">
      <c r="A100" t="s">
        <v>93</v>
      </c>
      <c r="B100">
        <v>745</v>
      </c>
      <c r="C100">
        <v>10261</v>
      </c>
      <c r="D100">
        <v>0.73</v>
      </c>
      <c r="E100">
        <v>18.960799999999999</v>
      </c>
      <c r="F100">
        <v>4.8</v>
      </c>
      <c r="G100">
        <v>0.39359</v>
      </c>
      <c r="H100">
        <v>5.5</v>
      </c>
      <c r="I100">
        <v>5.4149000000000003E-2</v>
      </c>
      <c r="J100">
        <v>2.8</v>
      </c>
      <c r="K100">
        <v>0.503</v>
      </c>
      <c r="L100">
        <v>339.9</v>
      </c>
      <c r="M100">
        <v>9.1999999999999993</v>
      </c>
      <c r="N100">
        <v>337</v>
      </c>
      <c r="O100">
        <v>15.8</v>
      </c>
      <c r="P100">
        <v>316.60000000000002</v>
      </c>
      <c r="Q100">
        <v>108.5</v>
      </c>
      <c r="R100">
        <v>339.9</v>
      </c>
      <c r="S100">
        <v>9.1999999999999993</v>
      </c>
      <c r="T100">
        <v>107.4</v>
      </c>
      <c r="AS100" t="s">
        <v>430</v>
      </c>
      <c r="AT100">
        <v>498</v>
      </c>
      <c r="AU100">
        <v>202430</v>
      </c>
      <c r="AV100">
        <v>1.64</v>
      </c>
      <c r="AW100">
        <v>13.109299999999999</v>
      </c>
      <c r="AX100">
        <v>2</v>
      </c>
      <c r="AY100">
        <v>1.95834</v>
      </c>
      <c r="AZ100">
        <v>3.6</v>
      </c>
      <c r="BA100">
        <v>0.186279</v>
      </c>
      <c r="BB100">
        <v>2.9</v>
      </c>
      <c r="BC100">
        <v>0.82299999999999995</v>
      </c>
      <c r="BD100">
        <v>1101.2</v>
      </c>
      <c r="BE100">
        <v>29.7</v>
      </c>
      <c r="BF100">
        <v>1101.3</v>
      </c>
      <c r="BG100">
        <v>24</v>
      </c>
      <c r="BH100">
        <v>1101.5999999999999</v>
      </c>
      <c r="BI100">
        <v>40.5</v>
      </c>
      <c r="BJ100">
        <v>1101.5999999999999</v>
      </c>
      <c r="BK100">
        <v>40.5</v>
      </c>
      <c r="BL100">
        <v>100</v>
      </c>
    </row>
    <row r="101" spans="1:64" x14ac:dyDescent="0.2">
      <c r="A101" t="s">
        <v>94</v>
      </c>
      <c r="B101">
        <v>1763</v>
      </c>
      <c r="C101">
        <v>333636</v>
      </c>
      <c r="D101">
        <v>0.62</v>
      </c>
      <c r="E101">
        <v>18.528700000000001</v>
      </c>
      <c r="F101">
        <v>2.4</v>
      </c>
      <c r="G101">
        <v>0.39538000000000001</v>
      </c>
      <c r="H101">
        <v>3.3</v>
      </c>
      <c r="I101">
        <v>5.3156000000000002E-2</v>
      </c>
      <c r="J101">
        <v>2.2999999999999998</v>
      </c>
      <c r="K101">
        <v>0.69499999999999995</v>
      </c>
      <c r="L101">
        <v>333.9</v>
      </c>
      <c r="M101">
        <v>7.5</v>
      </c>
      <c r="N101">
        <v>338.3</v>
      </c>
      <c r="O101">
        <v>9.6</v>
      </c>
      <c r="P101">
        <v>368.8</v>
      </c>
      <c r="Q101">
        <v>53.7</v>
      </c>
      <c r="R101">
        <v>333.9</v>
      </c>
      <c r="S101">
        <v>7.5</v>
      </c>
      <c r="T101">
        <v>90.5</v>
      </c>
    </row>
    <row r="102" spans="1:64" x14ac:dyDescent="0.2">
      <c r="A102" t="s">
        <v>95</v>
      </c>
      <c r="B102">
        <v>954</v>
      </c>
      <c r="C102">
        <v>118057</v>
      </c>
      <c r="D102">
        <v>0.66</v>
      </c>
      <c r="E102">
        <v>18.381799999999998</v>
      </c>
      <c r="F102">
        <v>2.2999999999999998</v>
      </c>
      <c r="G102">
        <v>0.39845999999999998</v>
      </c>
      <c r="H102">
        <v>3.4</v>
      </c>
      <c r="I102">
        <v>5.3145999999999999E-2</v>
      </c>
      <c r="J102">
        <v>2.5</v>
      </c>
      <c r="K102">
        <v>0.745</v>
      </c>
      <c r="L102">
        <v>333.8</v>
      </c>
      <c r="M102">
        <v>8.1999999999999993</v>
      </c>
      <c r="N102">
        <v>340.5</v>
      </c>
      <c r="O102">
        <v>9.8000000000000007</v>
      </c>
      <c r="P102">
        <v>386.7</v>
      </c>
      <c r="Q102">
        <v>50.8</v>
      </c>
      <c r="R102">
        <v>333.8</v>
      </c>
      <c r="S102">
        <v>8.1999999999999993</v>
      </c>
      <c r="T102">
        <v>86.3</v>
      </c>
    </row>
    <row r="103" spans="1:64" x14ac:dyDescent="0.2">
      <c r="A103" t="s">
        <v>96</v>
      </c>
      <c r="B103">
        <v>382</v>
      </c>
      <c r="C103">
        <v>31366</v>
      </c>
      <c r="D103">
        <v>1.05</v>
      </c>
      <c r="E103">
        <v>18.338799999999999</v>
      </c>
      <c r="F103">
        <v>4.5999999999999996</v>
      </c>
      <c r="G103">
        <v>0.39489000000000002</v>
      </c>
      <c r="H103">
        <v>5.3</v>
      </c>
      <c r="I103">
        <v>5.2547000000000003E-2</v>
      </c>
      <c r="J103">
        <v>2.5</v>
      </c>
      <c r="K103">
        <v>0.47399999999999998</v>
      </c>
      <c r="L103">
        <v>330.1</v>
      </c>
      <c r="M103">
        <v>8</v>
      </c>
      <c r="N103">
        <v>337.9</v>
      </c>
      <c r="O103">
        <v>15.2</v>
      </c>
      <c r="P103">
        <v>391.9</v>
      </c>
      <c r="Q103">
        <v>104.2</v>
      </c>
      <c r="R103">
        <v>330.1</v>
      </c>
      <c r="S103">
        <v>8</v>
      </c>
      <c r="T103">
        <v>84.2</v>
      </c>
    </row>
    <row r="104" spans="1:64" x14ac:dyDescent="0.2">
      <c r="A104" t="s">
        <v>97</v>
      </c>
      <c r="B104">
        <v>1296</v>
      </c>
      <c r="C104">
        <v>22714</v>
      </c>
      <c r="D104">
        <v>0.59</v>
      </c>
      <c r="E104">
        <v>18.830200000000001</v>
      </c>
      <c r="F104">
        <v>3</v>
      </c>
      <c r="G104">
        <v>0.38591999999999999</v>
      </c>
      <c r="H104">
        <v>4</v>
      </c>
      <c r="I104">
        <v>5.2728999999999998E-2</v>
      </c>
      <c r="J104">
        <v>2.6</v>
      </c>
      <c r="K104">
        <v>0.65500000000000003</v>
      </c>
      <c r="L104">
        <v>331.3</v>
      </c>
      <c r="M104">
        <v>8.5</v>
      </c>
      <c r="N104">
        <v>331.4</v>
      </c>
      <c r="O104">
        <v>11.4</v>
      </c>
      <c r="P104">
        <v>332.3</v>
      </c>
      <c r="Q104">
        <v>68.8</v>
      </c>
      <c r="R104">
        <v>331.3</v>
      </c>
      <c r="S104">
        <v>8.5</v>
      </c>
      <c r="T104">
        <v>99.7</v>
      </c>
    </row>
    <row r="105" spans="1:64" x14ac:dyDescent="0.2">
      <c r="A105" t="s">
        <v>98</v>
      </c>
      <c r="B105">
        <v>1058</v>
      </c>
      <c r="C105">
        <v>77080</v>
      </c>
      <c r="D105">
        <v>0.57999999999999996</v>
      </c>
      <c r="E105">
        <v>18.655200000000001</v>
      </c>
      <c r="F105">
        <v>2.4</v>
      </c>
      <c r="G105">
        <v>0.39023999999999998</v>
      </c>
      <c r="H105">
        <v>3.5</v>
      </c>
      <c r="I105">
        <v>5.2823000000000002E-2</v>
      </c>
      <c r="J105">
        <v>2.5</v>
      </c>
      <c r="K105">
        <v>0.71299999999999997</v>
      </c>
      <c r="L105">
        <v>331.8</v>
      </c>
      <c r="M105">
        <v>8</v>
      </c>
      <c r="N105">
        <v>334.5</v>
      </c>
      <c r="O105">
        <v>9.9</v>
      </c>
      <c r="P105">
        <v>353.4</v>
      </c>
      <c r="Q105">
        <v>55.1</v>
      </c>
      <c r="R105">
        <v>331.8</v>
      </c>
      <c r="S105">
        <v>8</v>
      </c>
      <c r="T105">
        <v>93.9</v>
      </c>
    </row>
    <row r="106" spans="1:64" x14ac:dyDescent="0.2">
      <c r="A106" t="s">
        <v>99</v>
      </c>
      <c r="B106">
        <v>562</v>
      </c>
      <c r="C106">
        <v>9931</v>
      </c>
      <c r="D106">
        <v>0.96</v>
      </c>
      <c r="E106">
        <v>18.791399999999999</v>
      </c>
      <c r="F106">
        <v>5.5</v>
      </c>
      <c r="G106">
        <v>0.39018999999999998</v>
      </c>
      <c r="H106">
        <v>6.6</v>
      </c>
      <c r="I106">
        <v>5.3201999999999999E-2</v>
      </c>
      <c r="J106">
        <v>3.7</v>
      </c>
      <c r="K106">
        <v>0.55600000000000005</v>
      </c>
      <c r="L106">
        <v>334.2</v>
      </c>
      <c r="M106">
        <v>12</v>
      </c>
      <c r="N106">
        <v>334.5</v>
      </c>
      <c r="O106">
        <v>18.899999999999999</v>
      </c>
      <c r="P106">
        <v>337</v>
      </c>
      <c r="Q106">
        <v>124.6</v>
      </c>
      <c r="R106">
        <v>334.2</v>
      </c>
      <c r="S106">
        <v>12</v>
      </c>
      <c r="T106">
        <v>99.2</v>
      </c>
    </row>
    <row r="107" spans="1:64" x14ac:dyDescent="0.2">
      <c r="A107" t="s">
        <v>100</v>
      </c>
      <c r="B107">
        <v>709</v>
      </c>
      <c r="C107">
        <v>21048</v>
      </c>
      <c r="D107">
        <v>0.64</v>
      </c>
      <c r="E107">
        <v>18.703199999999999</v>
      </c>
      <c r="F107">
        <v>3.6</v>
      </c>
      <c r="G107">
        <v>0.39279999999999998</v>
      </c>
      <c r="H107">
        <v>4.3</v>
      </c>
      <c r="I107">
        <v>5.3307E-2</v>
      </c>
      <c r="J107">
        <v>2.4</v>
      </c>
      <c r="K107">
        <v>0.55700000000000005</v>
      </c>
      <c r="L107">
        <v>334.8</v>
      </c>
      <c r="M107">
        <v>7.9</v>
      </c>
      <c r="N107">
        <v>336.4</v>
      </c>
      <c r="O107">
        <v>12.4</v>
      </c>
      <c r="P107">
        <v>347.6</v>
      </c>
      <c r="Q107">
        <v>81.400000000000006</v>
      </c>
      <c r="R107">
        <v>334.8</v>
      </c>
      <c r="S107">
        <v>7.9</v>
      </c>
      <c r="T107">
        <v>96.3</v>
      </c>
    </row>
    <row r="108" spans="1:64" x14ac:dyDescent="0.2">
      <c r="A108" t="s">
        <v>101</v>
      </c>
      <c r="B108">
        <v>725</v>
      </c>
      <c r="C108">
        <v>27876</v>
      </c>
      <c r="D108">
        <v>10.95</v>
      </c>
      <c r="E108">
        <v>18.728899999999999</v>
      </c>
      <c r="F108">
        <v>3.4</v>
      </c>
      <c r="G108">
        <v>0.39606999999999998</v>
      </c>
      <c r="H108">
        <v>4</v>
      </c>
      <c r="I108">
        <v>5.3823999999999997E-2</v>
      </c>
      <c r="J108">
        <v>2.1</v>
      </c>
      <c r="K108">
        <v>0.51900000000000002</v>
      </c>
      <c r="L108">
        <v>338</v>
      </c>
      <c r="M108">
        <v>6.9</v>
      </c>
      <c r="N108">
        <v>338.8</v>
      </c>
      <c r="O108">
        <v>11.6</v>
      </c>
      <c r="P108">
        <v>344.5</v>
      </c>
      <c r="Q108">
        <v>77.599999999999994</v>
      </c>
      <c r="R108">
        <v>338</v>
      </c>
      <c r="S108">
        <v>6.9</v>
      </c>
      <c r="T108">
        <v>98.1</v>
      </c>
    </row>
    <row r="109" spans="1:64" x14ac:dyDescent="0.2">
      <c r="A109" t="s">
        <v>102</v>
      </c>
      <c r="B109">
        <v>2079</v>
      </c>
      <c r="C109">
        <v>68775</v>
      </c>
      <c r="D109">
        <v>0.31</v>
      </c>
      <c r="E109">
        <v>17.937899999999999</v>
      </c>
      <c r="F109">
        <v>3.5</v>
      </c>
      <c r="G109">
        <v>0.42664000000000002</v>
      </c>
      <c r="H109">
        <v>5.3</v>
      </c>
      <c r="I109">
        <v>5.5530000000000003E-2</v>
      </c>
      <c r="J109">
        <v>4</v>
      </c>
      <c r="K109">
        <v>0.748</v>
      </c>
      <c r="L109">
        <v>348.4</v>
      </c>
      <c r="M109">
        <v>13.4</v>
      </c>
      <c r="N109">
        <v>360.8</v>
      </c>
      <c r="O109">
        <v>16.100000000000001</v>
      </c>
      <c r="P109">
        <v>441.3</v>
      </c>
      <c r="Q109">
        <v>78.3</v>
      </c>
      <c r="R109">
        <v>348.4</v>
      </c>
      <c r="S109">
        <v>13.4</v>
      </c>
      <c r="T109">
        <v>78.900000000000006</v>
      </c>
    </row>
    <row r="110" spans="1:64" x14ac:dyDescent="0.2">
      <c r="A110" t="s">
        <v>103</v>
      </c>
      <c r="B110">
        <v>670</v>
      </c>
      <c r="C110">
        <v>14846</v>
      </c>
      <c r="D110">
        <v>0.76</v>
      </c>
      <c r="E110">
        <v>18.358699999999999</v>
      </c>
      <c r="F110">
        <v>4.3</v>
      </c>
      <c r="G110">
        <v>0.39362000000000003</v>
      </c>
      <c r="H110">
        <v>5.0999999999999996</v>
      </c>
      <c r="I110">
        <v>5.2434000000000001E-2</v>
      </c>
      <c r="J110">
        <v>2.7</v>
      </c>
      <c r="K110">
        <v>0.53600000000000003</v>
      </c>
      <c r="L110">
        <v>329.4</v>
      </c>
      <c r="M110">
        <v>8.8000000000000007</v>
      </c>
      <c r="N110">
        <v>337</v>
      </c>
      <c r="O110">
        <v>14.6</v>
      </c>
      <c r="P110">
        <v>389.5</v>
      </c>
      <c r="Q110">
        <v>96.5</v>
      </c>
      <c r="R110">
        <v>329.4</v>
      </c>
      <c r="S110">
        <v>8.8000000000000007</v>
      </c>
      <c r="T110">
        <v>84.6</v>
      </c>
    </row>
    <row r="111" spans="1:64" x14ac:dyDescent="0.2">
      <c r="A111" t="s">
        <v>104</v>
      </c>
      <c r="B111">
        <v>911</v>
      </c>
      <c r="C111">
        <v>16045</v>
      </c>
      <c r="D111">
        <v>0.59</v>
      </c>
      <c r="E111">
        <v>18.551500000000001</v>
      </c>
      <c r="F111">
        <v>3.8</v>
      </c>
      <c r="G111">
        <v>0.39362999999999998</v>
      </c>
      <c r="H111">
        <v>4.8</v>
      </c>
      <c r="I111">
        <v>5.2985999999999998E-2</v>
      </c>
      <c r="J111">
        <v>3</v>
      </c>
      <c r="K111">
        <v>0.61399999999999999</v>
      </c>
      <c r="L111">
        <v>332.8</v>
      </c>
      <c r="M111">
        <v>9.6</v>
      </c>
      <c r="N111">
        <v>337</v>
      </c>
      <c r="O111">
        <v>13.8</v>
      </c>
      <c r="P111">
        <v>366</v>
      </c>
      <c r="Q111">
        <v>85.6</v>
      </c>
      <c r="R111">
        <v>332.8</v>
      </c>
      <c r="S111">
        <v>9.6</v>
      </c>
      <c r="T111">
        <v>90.9</v>
      </c>
    </row>
    <row r="112" spans="1:64" x14ac:dyDescent="0.2">
      <c r="A112" t="s">
        <v>105</v>
      </c>
      <c r="B112">
        <v>3438</v>
      </c>
      <c r="C112">
        <v>66697</v>
      </c>
      <c r="D112">
        <v>0.37</v>
      </c>
      <c r="E112">
        <v>18.912099999999999</v>
      </c>
      <c r="F112">
        <v>1.8</v>
      </c>
      <c r="G112">
        <v>0.39369999999999999</v>
      </c>
      <c r="H112">
        <v>2.9</v>
      </c>
      <c r="I112">
        <v>5.4024999999999997E-2</v>
      </c>
      <c r="J112">
        <v>2.2999999999999998</v>
      </c>
      <c r="K112">
        <v>0.78500000000000003</v>
      </c>
      <c r="L112">
        <v>339.2</v>
      </c>
      <c r="M112">
        <v>7.6</v>
      </c>
      <c r="N112">
        <v>337.1</v>
      </c>
      <c r="O112">
        <v>8.4</v>
      </c>
      <c r="P112">
        <v>322.5</v>
      </c>
      <c r="Q112">
        <v>41.2</v>
      </c>
      <c r="R112">
        <v>339.2</v>
      </c>
      <c r="S112">
        <v>7.6</v>
      </c>
      <c r="T112">
        <v>105.2</v>
      </c>
    </row>
    <row r="113" spans="1:20" x14ac:dyDescent="0.2">
      <c r="A113" t="s">
        <v>106</v>
      </c>
      <c r="B113">
        <v>730</v>
      </c>
      <c r="C113">
        <v>30713</v>
      </c>
      <c r="D113">
        <v>0.79</v>
      </c>
      <c r="E113">
        <v>17.062999999999999</v>
      </c>
      <c r="F113">
        <v>5.4</v>
      </c>
      <c r="G113">
        <v>0.43779000000000001</v>
      </c>
      <c r="H113">
        <v>6</v>
      </c>
      <c r="I113">
        <v>5.4202E-2</v>
      </c>
      <c r="J113">
        <v>2.5</v>
      </c>
      <c r="K113">
        <v>0.42599999999999999</v>
      </c>
      <c r="L113">
        <v>340.3</v>
      </c>
      <c r="M113">
        <v>8.4</v>
      </c>
      <c r="N113">
        <v>368.7</v>
      </c>
      <c r="O113">
        <v>18.399999999999999</v>
      </c>
      <c r="P113">
        <v>551.5</v>
      </c>
      <c r="Q113">
        <v>117.6</v>
      </c>
      <c r="R113">
        <v>340.3</v>
      </c>
      <c r="S113">
        <v>8.4</v>
      </c>
      <c r="T113">
        <v>61.7</v>
      </c>
    </row>
    <row r="114" spans="1:20" x14ac:dyDescent="0.2">
      <c r="A114" t="s">
        <v>107</v>
      </c>
      <c r="B114">
        <v>722</v>
      </c>
      <c r="C114">
        <v>637664</v>
      </c>
      <c r="D114">
        <v>0.73</v>
      </c>
      <c r="E114">
        <v>18.5868</v>
      </c>
      <c r="F114">
        <v>2.8</v>
      </c>
      <c r="G114">
        <v>0.38488</v>
      </c>
      <c r="H114">
        <v>4.0999999999999996</v>
      </c>
      <c r="I114">
        <v>5.1907000000000002E-2</v>
      </c>
      <c r="J114">
        <v>3</v>
      </c>
      <c r="K114">
        <v>0.72899999999999998</v>
      </c>
      <c r="L114">
        <v>326.2</v>
      </c>
      <c r="M114">
        <v>9.5</v>
      </c>
      <c r="N114">
        <v>330.6</v>
      </c>
      <c r="O114">
        <v>11.5</v>
      </c>
      <c r="P114">
        <v>361.7</v>
      </c>
      <c r="Q114">
        <v>63</v>
      </c>
      <c r="R114">
        <v>326.2</v>
      </c>
      <c r="S114">
        <v>9.5</v>
      </c>
      <c r="T114">
        <v>90.2</v>
      </c>
    </row>
    <row r="115" spans="1:20" x14ac:dyDescent="0.2">
      <c r="A115" t="s">
        <v>108</v>
      </c>
      <c r="B115">
        <v>1157</v>
      </c>
      <c r="C115">
        <v>35221</v>
      </c>
      <c r="D115">
        <v>0.75</v>
      </c>
      <c r="E115">
        <v>18.533999999999999</v>
      </c>
      <c r="F115">
        <v>3.6</v>
      </c>
      <c r="G115">
        <v>0.39158999999999999</v>
      </c>
      <c r="H115">
        <v>4.3</v>
      </c>
      <c r="I115">
        <v>5.2662E-2</v>
      </c>
      <c r="J115">
        <v>2.4</v>
      </c>
      <c r="K115">
        <v>0.56100000000000005</v>
      </c>
      <c r="L115">
        <v>330.8</v>
      </c>
      <c r="M115">
        <v>7.8</v>
      </c>
      <c r="N115">
        <v>335.5</v>
      </c>
      <c r="O115">
        <v>12.3</v>
      </c>
      <c r="P115">
        <v>368.1</v>
      </c>
      <c r="Q115">
        <v>80.3</v>
      </c>
      <c r="R115">
        <v>330.8</v>
      </c>
      <c r="S115">
        <v>7.8</v>
      </c>
      <c r="T115">
        <v>89.9</v>
      </c>
    </row>
    <row r="116" spans="1:20" x14ac:dyDescent="0.2">
      <c r="A116" t="s">
        <v>109</v>
      </c>
      <c r="B116">
        <v>3912</v>
      </c>
      <c r="C116">
        <v>43462</v>
      </c>
      <c r="D116">
        <v>0.36</v>
      </c>
      <c r="E116">
        <v>18.068899999999999</v>
      </c>
      <c r="F116">
        <v>4.4000000000000004</v>
      </c>
      <c r="G116">
        <v>0.39356999999999998</v>
      </c>
      <c r="H116">
        <v>4.9000000000000004</v>
      </c>
      <c r="I116">
        <v>5.1598999999999999E-2</v>
      </c>
      <c r="J116">
        <v>2.2999999999999998</v>
      </c>
      <c r="K116">
        <v>0.46200000000000002</v>
      </c>
      <c r="L116">
        <v>324.3</v>
      </c>
      <c r="M116">
        <v>7.2</v>
      </c>
      <c r="N116">
        <v>337</v>
      </c>
      <c r="O116">
        <v>14.1</v>
      </c>
      <c r="P116">
        <v>425.1</v>
      </c>
      <c r="Q116">
        <v>97.3</v>
      </c>
      <c r="R116">
        <v>324.3</v>
      </c>
      <c r="S116">
        <v>7.2</v>
      </c>
      <c r="T116">
        <v>76.3</v>
      </c>
    </row>
    <row r="117" spans="1:20" x14ac:dyDescent="0.2">
      <c r="A117" t="s">
        <v>110</v>
      </c>
      <c r="B117">
        <v>2636</v>
      </c>
      <c r="C117">
        <v>24065</v>
      </c>
      <c r="D117">
        <v>0.96</v>
      </c>
      <c r="E117">
        <v>16.478200000000001</v>
      </c>
      <c r="F117">
        <v>7.2</v>
      </c>
      <c r="G117">
        <v>0.43226999999999999</v>
      </c>
      <c r="H117">
        <v>8.6</v>
      </c>
      <c r="I117">
        <v>5.1684000000000001E-2</v>
      </c>
      <c r="J117">
        <v>4.5999999999999996</v>
      </c>
      <c r="K117">
        <v>0.53600000000000003</v>
      </c>
      <c r="L117">
        <v>324.89999999999998</v>
      </c>
      <c r="M117">
        <v>14.5</v>
      </c>
      <c r="N117">
        <v>364.8</v>
      </c>
      <c r="O117">
        <v>26.2</v>
      </c>
      <c r="P117">
        <v>627.1</v>
      </c>
      <c r="Q117">
        <v>155.69999999999999</v>
      </c>
      <c r="R117">
        <v>324.89999999999998</v>
      </c>
      <c r="S117">
        <v>14.5</v>
      </c>
      <c r="T117">
        <v>51.8</v>
      </c>
    </row>
    <row r="118" spans="1:20" x14ac:dyDescent="0.2">
      <c r="A118" t="s">
        <v>111</v>
      </c>
      <c r="B118">
        <v>2200</v>
      </c>
      <c r="C118">
        <v>19902</v>
      </c>
      <c r="D118">
        <v>0.23</v>
      </c>
      <c r="E118">
        <v>18.536899999999999</v>
      </c>
      <c r="F118">
        <v>2.6</v>
      </c>
      <c r="G118">
        <v>0.38128000000000001</v>
      </c>
      <c r="H118">
        <v>5.2</v>
      </c>
      <c r="I118">
        <v>5.1283000000000002E-2</v>
      </c>
      <c r="J118">
        <v>4.5</v>
      </c>
      <c r="K118">
        <v>0.86599999999999999</v>
      </c>
      <c r="L118">
        <v>322.39999999999998</v>
      </c>
      <c r="M118">
        <v>14.2</v>
      </c>
      <c r="N118">
        <v>328</v>
      </c>
      <c r="O118">
        <v>14.6</v>
      </c>
      <c r="P118">
        <v>367.8</v>
      </c>
      <c r="Q118">
        <v>58.9</v>
      </c>
      <c r="R118">
        <v>322.39999999999998</v>
      </c>
      <c r="S118">
        <v>14.2</v>
      </c>
      <c r="T118">
        <v>87.7</v>
      </c>
    </row>
    <row r="119" spans="1:20" x14ac:dyDescent="0.2">
      <c r="A119" t="s">
        <v>112</v>
      </c>
      <c r="B119">
        <v>1608</v>
      </c>
      <c r="C119">
        <v>16136</v>
      </c>
      <c r="D119">
        <v>0.77</v>
      </c>
      <c r="E119">
        <v>15.906700000000001</v>
      </c>
      <c r="F119">
        <v>8.1999999999999993</v>
      </c>
      <c r="G119">
        <v>0.46616999999999997</v>
      </c>
      <c r="H119">
        <v>8.8000000000000007</v>
      </c>
      <c r="I119">
        <v>5.3803999999999998E-2</v>
      </c>
      <c r="J119">
        <v>3.1</v>
      </c>
      <c r="K119">
        <v>0.35499999999999998</v>
      </c>
      <c r="L119">
        <v>337.8</v>
      </c>
      <c r="M119">
        <v>10.3</v>
      </c>
      <c r="N119">
        <v>388.5</v>
      </c>
      <c r="O119">
        <v>28.4</v>
      </c>
      <c r="P119">
        <v>702.7</v>
      </c>
      <c r="Q119">
        <v>175.2</v>
      </c>
      <c r="R119">
        <v>337.8</v>
      </c>
      <c r="S119">
        <v>10.3</v>
      </c>
      <c r="T119">
        <v>48.1</v>
      </c>
    </row>
    <row r="120" spans="1:20" x14ac:dyDescent="0.2">
      <c r="A120" t="s">
        <v>113</v>
      </c>
      <c r="B120">
        <v>319</v>
      </c>
      <c r="C120">
        <v>5605</v>
      </c>
      <c r="D120">
        <v>3.28</v>
      </c>
      <c r="E120">
        <v>19.488600000000002</v>
      </c>
      <c r="F120">
        <v>8.1999999999999993</v>
      </c>
      <c r="G120">
        <v>0.30506</v>
      </c>
      <c r="H120">
        <v>9.8000000000000007</v>
      </c>
      <c r="I120">
        <v>4.3138000000000003E-2</v>
      </c>
      <c r="J120">
        <v>5.3</v>
      </c>
      <c r="K120">
        <v>0.54600000000000004</v>
      </c>
      <c r="L120">
        <v>272.3</v>
      </c>
      <c r="M120">
        <v>14.2</v>
      </c>
      <c r="N120">
        <v>270.3</v>
      </c>
      <c r="O120">
        <v>23.2</v>
      </c>
      <c r="P120">
        <v>253.8</v>
      </c>
      <c r="Q120">
        <v>188.2</v>
      </c>
      <c r="R120">
        <v>272.3</v>
      </c>
      <c r="S120">
        <v>14.2</v>
      </c>
      <c r="T120">
        <v>107.3</v>
      </c>
    </row>
    <row r="121" spans="1:20" x14ac:dyDescent="0.2">
      <c r="A121" t="s">
        <v>114</v>
      </c>
      <c r="B121">
        <v>274</v>
      </c>
      <c r="C121">
        <v>7059</v>
      </c>
      <c r="D121">
        <v>1.8</v>
      </c>
      <c r="E121">
        <v>19.680299999999999</v>
      </c>
      <c r="F121">
        <v>7.9</v>
      </c>
      <c r="G121">
        <v>0.29636000000000001</v>
      </c>
      <c r="H121">
        <v>9.1</v>
      </c>
      <c r="I121">
        <v>4.2319000000000002E-2</v>
      </c>
      <c r="J121">
        <v>4.5</v>
      </c>
      <c r="K121">
        <v>0.49</v>
      </c>
      <c r="L121">
        <v>267.2</v>
      </c>
      <c r="M121">
        <v>11.7</v>
      </c>
      <c r="N121">
        <v>263.5</v>
      </c>
      <c r="O121">
        <v>21.2</v>
      </c>
      <c r="P121">
        <v>231.3</v>
      </c>
      <c r="Q121">
        <v>183.7</v>
      </c>
      <c r="R121">
        <v>267.2</v>
      </c>
      <c r="S121">
        <v>11.7</v>
      </c>
      <c r="T121">
        <v>115.5</v>
      </c>
    </row>
    <row r="122" spans="1:20" x14ac:dyDescent="0.2">
      <c r="A122" t="s">
        <v>115</v>
      </c>
      <c r="B122">
        <v>385</v>
      </c>
      <c r="C122">
        <v>7414</v>
      </c>
      <c r="D122">
        <v>0.64</v>
      </c>
      <c r="E122">
        <v>16.302600000000002</v>
      </c>
      <c r="F122">
        <v>19.5</v>
      </c>
      <c r="G122">
        <v>0.35377999999999998</v>
      </c>
      <c r="H122">
        <v>19.899999999999999</v>
      </c>
      <c r="I122">
        <v>4.1848000000000003E-2</v>
      </c>
      <c r="J122">
        <v>4</v>
      </c>
      <c r="K122">
        <v>0.2</v>
      </c>
      <c r="L122">
        <v>264.3</v>
      </c>
      <c r="M122">
        <v>10.3</v>
      </c>
      <c r="N122">
        <v>307.60000000000002</v>
      </c>
      <c r="O122">
        <v>52.8</v>
      </c>
      <c r="P122">
        <v>650.20000000000005</v>
      </c>
      <c r="Q122">
        <v>419.6</v>
      </c>
      <c r="R122">
        <v>264.3</v>
      </c>
      <c r="S122">
        <v>10.3</v>
      </c>
      <c r="T122">
        <v>40.6</v>
      </c>
    </row>
    <row r="123" spans="1:20" x14ac:dyDescent="0.2">
      <c r="A123" t="s">
        <v>116</v>
      </c>
      <c r="B123">
        <v>249</v>
      </c>
      <c r="C123">
        <v>6006</v>
      </c>
      <c r="D123">
        <v>2.6</v>
      </c>
      <c r="E123">
        <v>19.761800000000001</v>
      </c>
      <c r="F123">
        <v>8.3000000000000007</v>
      </c>
      <c r="G123">
        <v>0.30542000000000002</v>
      </c>
      <c r="H123">
        <v>8.8000000000000007</v>
      </c>
      <c r="I123">
        <v>4.3795000000000001E-2</v>
      </c>
      <c r="J123">
        <v>2.9</v>
      </c>
      <c r="K123">
        <v>0.32700000000000001</v>
      </c>
      <c r="L123">
        <v>276.3</v>
      </c>
      <c r="M123">
        <v>7.8</v>
      </c>
      <c r="N123">
        <v>270.60000000000002</v>
      </c>
      <c r="O123">
        <v>20.9</v>
      </c>
      <c r="P123">
        <v>221.8</v>
      </c>
      <c r="Q123">
        <v>192.7</v>
      </c>
      <c r="R123">
        <v>276.3</v>
      </c>
      <c r="S123">
        <v>7.8</v>
      </c>
      <c r="T123">
        <v>124.6</v>
      </c>
    </row>
    <row r="124" spans="1:20" x14ac:dyDescent="0.2">
      <c r="A124" t="s">
        <v>117</v>
      </c>
      <c r="B124">
        <v>1052</v>
      </c>
      <c r="C124">
        <v>138129</v>
      </c>
      <c r="D124">
        <v>10.4</v>
      </c>
      <c r="E124">
        <v>18.777799999999999</v>
      </c>
      <c r="F124">
        <v>2.4</v>
      </c>
      <c r="G124">
        <v>0.39849000000000001</v>
      </c>
      <c r="H124">
        <v>3.6</v>
      </c>
      <c r="I124">
        <v>5.4294000000000002E-2</v>
      </c>
      <c r="J124">
        <v>2.6</v>
      </c>
      <c r="K124">
        <v>0.74299999999999999</v>
      </c>
      <c r="L124">
        <v>340.8</v>
      </c>
      <c r="M124">
        <v>8.8000000000000007</v>
      </c>
      <c r="N124">
        <v>340.6</v>
      </c>
      <c r="O124">
        <v>10.3</v>
      </c>
      <c r="P124">
        <v>338.6</v>
      </c>
      <c r="Q124">
        <v>53.8</v>
      </c>
      <c r="R124">
        <v>340.8</v>
      </c>
      <c r="S124">
        <v>8.8000000000000007</v>
      </c>
      <c r="T124">
        <v>100.6</v>
      </c>
    </row>
    <row r="125" spans="1:20" x14ac:dyDescent="0.2">
      <c r="A125" t="s">
        <v>118</v>
      </c>
      <c r="B125">
        <v>660</v>
      </c>
      <c r="C125">
        <v>15867</v>
      </c>
      <c r="D125">
        <v>0.63</v>
      </c>
      <c r="E125">
        <v>19.210699999999999</v>
      </c>
      <c r="F125">
        <v>4.0999999999999996</v>
      </c>
      <c r="G125">
        <v>0.31097999999999998</v>
      </c>
      <c r="H125">
        <v>5.0999999999999996</v>
      </c>
      <c r="I125">
        <v>4.3347999999999998E-2</v>
      </c>
      <c r="J125">
        <v>3.1</v>
      </c>
      <c r="K125">
        <v>0.60099999999999998</v>
      </c>
      <c r="L125">
        <v>273.60000000000002</v>
      </c>
      <c r="M125">
        <v>8.1999999999999993</v>
      </c>
      <c r="N125">
        <v>274.89999999999998</v>
      </c>
      <c r="O125">
        <v>12.2</v>
      </c>
      <c r="P125">
        <v>286.7</v>
      </c>
      <c r="Q125">
        <v>92.7</v>
      </c>
      <c r="R125">
        <v>273.60000000000002</v>
      </c>
      <c r="S125">
        <v>8.1999999999999993</v>
      </c>
      <c r="T125">
        <v>95.4</v>
      </c>
    </row>
    <row r="126" spans="1:20" x14ac:dyDescent="0.2">
      <c r="A126" t="s">
        <v>119</v>
      </c>
      <c r="B126">
        <v>327</v>
      </c>
      <c r="C126">
        <v>12506</v>
      </c>
      <c r="D126">
        <v>3.11</v>
      </c>
      <c r="E126">
        <v>18.9556</v>
      </c>
      <c r="F126">
        <v>5.2</v>
      </c>
      <c r="G126">
        <v>0.31594</v>
      </c>
      <c r="H126">
        <v>6.7</v>
      </c>
      <c r="I126">
        <v>4.3454E-2</v>
      </c>
      <c r="J126">
        <v>4.2</v>
      </c>
      <c r="K126">
        <v>0.621</v>
      </c>
      <c r="L126">
        <v>274.2</v>
      </c>
      <c r="M126">
        <v>11.2</v>
      </c>
      <c r="N126">
        <v>278.8</v>
      </c>
      <c r="O126">
        <v>16.3</v>
      </c>
      <c r="P126">
        <v>317.2</v>
      </c>
      <c r="Q126">
        <v>119.2</v>
      </c>
      <c r="R126">
        <v>274.2</v>
      </c>
      <c r="S126">
        <v>11.2</v>
      </c>
      <c r="T126">
        <v>86.4</v>
      </c>
    </row>
    <row r="127" spans="1:20" x14ac:dyDescent="0.2">
      <c r="A127" t="s">
        <v>120</v>
      </c>
      <c r="B127">
        <v>512</v>
      </c>
      <c r="C127">
        <v>12755</v>
      </c>
      <c r="D127">
        <v>0.74</v>
      </c>
      <c r="E127">
        <v>19.207100000000001</v>
      </c>
      <c r="F127">
        <v>5.0999999999999996</v>
      </c>
      <c r="G127">
        <v>0.30895</v>
      </c>
      <c r="H127">
        <v>5.7</v>
      </c>
      <c r="I127">
        <v>4.3056999999999998E-2</v>
      </c>
      <c r="J127">
        <v>2.6</v>
      </c>
      <c r="K127">
        <v>0.45600000000000002</v>
      </c>
      <c r="L127">
        <v>271.8</v>
      </c>
      <c r="M127">
        <v>6.9</v>
      </c>
      <c r="N127">
        <v>273.39999999999998</v>
      </c>
      <c r="O127">
        <v>13.6</v>
      </c>
      <c r="P127">
        <v>287.2</v>
      </c>
      <c r="Q127">
        <v>115.7</v>
      </c>
      <c r="R127">
        <v>271.8</v>
      </c>
      <c r="S127">
        <v>6.9</v>
      </c>
      <c r="T127">
        <v>94.6</v>
      </c>
    </row>
    <row r="128" spans="1:20" x14ac:dyDescent="0.2">
      <c r="A128" t="s">
        <v>121</v>
      </c>
      <c r="B128">
        <v>327</v>
      </c>
      <c r="C128">
        <v>1000</v>
      </c>
      <c r="D128">
        <v>0.81</v>
      </c>
      <c r="E128">
        <v>15.5174</v>
      </c>
      <c r="F128">
        <v>35.299999999999997</v>
      </c>
      <c r="G128">
        <v>0.37193999999999999</v>
      </c>
      <c r="H128">
        <v>35.6</v>
      </c>
      <c r="I128">
        <v>4.1877999999999999E-2</v>
      </c>
      <c r="J128">
        <v>4.5</v>
      </c>
      <c r="K128">
        <v>0.128</v>
      </c>
      <c r="L128">
        <v>264.5</v>
      </c>
      <c r="M128">
        <v>11.8</v>
      </c>
      <c r="N128">
        <v>321.10000000000002</v>
      </c>
      <c r="O128">
        <v>98.1</v>
      </c>
      <c r="P128">
        <v>755.3</v>
      </c>
      <c r="Q128">
        <v>750.7</v>
      </c>
      <c r="R128">
        <v>264.5</v>
      </c>
      <c r="S128">
        <v>11.8</v>
      </c>
      <c r="T128">
        <v>35</v>
      </c>
    </row>
    <row r="129" spans="1:20" x14ac:dyDescent="0.2">
      <c r="A129" t="s">
        <v>122</v>
      </c>
      <c r="B129">
        <v>476</v>
      </c>
      <c r="C129">
        <v>5087</v>
      </c>
      <c r="D129">
        <v>0.6</v>
      </c>
      <c r="E129">
        <v>20.401199999999999</v>
      </c>
      <c r="F129">
        <v>10.199999999999999</v>
      </c>
      <c r="G129">
        <v>0.29006999999999999</v>
      </c>
      <c r="H129">
        <v>10.6</v>
      </c>
      <c r="I129">
        <v>4.2938999999999998E-2</v>
      </c>
      <c r="J129">
        <v>3</v>
      </c>
      <c r="K129">
        <v>0.27900000000000003</v>
      </c>
      <c r="L129">
        <v>271</v>
      </c>
      <c r="M129">
        <v>7.9</v>
      </c>
      <c r="N129">
        <v>258.60000000000002</v>
      </c>
      <c r="O129">
        <v>24.2</v>
      </c>
      <c r="P129">
        <v>147.6</v>
      </c>
      <c r="Q129">
        <v>238.7</v>
      </c>
      <c r="R129">
        <v>271</v>
      </c>
      <c r="S129">
        <v>7.9</v>
      </c>
      <c r="T129">
        <v>183.6</v>
      </c>
    </row>
    <row r="130" spans="1:20" x14ac:dyDescent="0.2">
      <c r="A130" t="s">
        <v>123</v>
      </c>
      <c r="B130">
        <v>130</v>
      </c>
      <c r="C130">
        <v>9329</v>
      </c>
      <c r="D130">
        <v>0.95</v>
      </c>
      <c r="E130">
        <v>19.6494</v>
      </c>
      <c r="F130">
        <v>6.3</v>
      </c>
      <c r="G130">
        <v>0.30563000000000001</v>
      </c>
      <c r="H130">
        <v>7.6</v>
      </c>
      <c r="I130">
        <v>4.3575999999999997E-2</v>
      </c>
      <c r="J130">
        <v>4.2</v>
      </c>
      <c r="K130">
        <v>0.55500000000000005</v>
      </c>
      <c r="L130">
        <v>275</v>
      </c>
      <c r="M130">
        <v>11.4</v>
      </c>
      <c r="N130">
        <v>270.8</v>
      </c>
      <c r="O130">
        <v>18.100000000000001</v>
      </c>
      <c r="P130">
        <v>234.9</v>
      </c>
      <c r="Q130">
        <v>146.6</v>
      </c>
      <c r="R130">
        <v>275</v>
      </c>
      <c r="S130">
        <v>11.4</v>
      </c>
      <c r="T130">
        <v>117.1</v>
      </c>
    </row>
    <row r="131" spans="1:20" x14ac:dyDescent="0.2">
      <c r="A131" t="s">
        <v>124</v>
      </c>
      <c r="B131">
        <v>891</v>
      </c>
      <c r="C131">
        <v>21766</v>
      </c>
      <c r="D131">
        <v>0.55000000000000004</v>
      </c>
      <c r="E131">
        <v>19.240200000000002</v>
      </c>
      <c r="F131">
        <v>3.8</v>
      </c>
      <c r="G131">
        <v>0.31036999999999998</v>
      </c>
      <c r="H131">
        <v>4.3</v>
      </c>
      <c r="I131">
        <v>4.333E-2</v>
      </c>
      <c r="J131">
        <v>2.1</v>
      </c>
      <c r="K131">
        <v>0.49099999999999999</v>
      </c>
      <c r="L131">
        <v>273.39999999999998</v>
      </c>
      <c r="M131">
        <v>5.7</v>
      </c>
      <c r="N131">
        <v>274.5</v>
      </c>
      <c r="O131">
        <v>10.4</v>
      </c>
      <c r="P131">
        <v>283.3</v>
      </c>
      <c r="Q131">
        <v>86.2</v>
      </c>
      <c r="R131">
        <v>273.39999999999998</v>
      </c>
      <c r="S131">
        <v>5.7</v>
      </c>
      <c r="T131">
        <v>96.5</v>
      </c>
    </row>
    <row r="132" spans="1:20" x14ac:dyDescent="0.2">
      <c r="A132" t="s">
        <v>125</v>
      </c>
      <c r="B132">
        <v>1143</v>
      </c>
      <c r="C132">
        <v>20075</v>
      </c>
      <c r="D132">
        <v>0.48</v>
      </c>
      <c r="E132">
        <v>19.436</v>
      </c>
      <c r="F132">
        <v>3.6</v>
      </c>
      <c r="G132">
        <v>0.30929000000000001</v>
      </c>
      <c r="H132">
        <v>4.5</v>
      </c>
      <c r="I132">
        <v>4.3617999999999997E-2</v>
      </c>
      <c r="J132">
        <v>2.7</v>
      </c>
      <c r="K132">
        <v>0.60499999999999998</v>
      </c>
      <c r="L132">
        <v>275.2</v>
      </c>
      <c r="M132">
        <v>7.3</v>
      </c>
      <c r="N132">
        <v>273.60000000000002</v>
      </c>
      <c r="O132">
        <v>10.8</v>
      </c>
      <c r="P132">
        <v>260.10000000000002</v>
      </c>
      <c r="Q132">
        <v>82.1</v>
      </c>
      <c r="R132">
        <v>275.2</v>
      </c>
      <c r="S132">
        <v>7.3</v>
      </c>
      <c r="T132">
        <v>105.8</v>
      </c>
    </row>
    <row r="133" spans="1:20" x14ac:dyDescent="0.2">
      <c r="A133" t="s">
        <v>126</v>
      </c>
      <c r="B133">
        <v>219</v>
      </c>
      <c r="C133">
        <v>15504</v>
      </c>
      <c r="D133">
        <v>3.21</v>
      </c>
      <c r="E133">
        <v>19.1707</v>
      </c>
      <c r="F133">
        <v>4.5</v>
      </c>
      <c r="G133">
        <v>0.33832000000000001</v>
      </c>
      <c r="H133">
        <v>5.7</v>
      </c>
      <c r="I133">
        <v>4.7060999999999999E-2</v>
      </c>
      <c r="J133">
        <v>3.5</v>
      </c>
      <c r="K133">
        <v>0.61299999999999999</v>
      </c>
      <c r="L133">
        <v>296.5</v>
      </c>
      <c r="M133">
        <v>10.1</v>
      </c>
      <c r="N133">
        <v>295.89999999999998</v>
      </c>
      <c r="O133">
        <v>14.6</v>
      </c>
      <c r="P133">
        <v>291.5</v>
      </c>
      <c r="Q133">
        <v>102.6</v>
      </c>
      <c r="R133">
        <v>296.5</v>
      </c>
      <c r="S133">
        <v>10.1</v>
      </c>
      <c r="T133">
        <v>101.7</v>
      </c>
    </row>
    <row r="134" spans="1:20" x14ac:dyDescent="0.2">
      <c r="A134" t="s">
        <v>127</v>
      </c>
      <c r="B134">
        <v>3608</v>
      </c>
      <c r="C134">
        <v>65871</v>
      </c>
      <c r="D134">
        <v>20.34</v>
      </c>
      <c r="E134">
        <v>18.581399999999999</v>
      </c>
      <c r="F134">
        <v>2.2999999999999998</v>
      </c>
      <c r="G134">
        <v>0.34650999999999998</v>
      </c>
      <c r="H134">
        <v>3.6</v>
      </c>
      <c r="I134">
        <v>4.6718000000000003E-2</v>
      </c>
      <c r="J134">
        <v>2.8</v>
      </c>
      <c r="K134">
        <v>0.76700000000000002</v>
      </c>
      <c r="L134">
        <v>294.3</v>
      </c>
      <c r="M134">
        <v>8</v>
      </c>
      <c r="N134">
        <v>302.10000000000002</v>
      </c>
      <c r="O134">
        <v>9.5</v>
      </c>
      <c r="P134">
        <v>362.4</v>
      </c>
      <c r="Q134">
        <v>52.6</v>
      </c>
      <c r="R134">
        <v>294.3</v>
      </c>
      <c r="S134">
        <v>8</v>
      </c>
      <c r="T134">
        <v>81.2</v>
      </c>
    </row>
    <row r="135" spans="1:20" x14ac:dyDescent="0.2">
      <c r="A135" t="s">
        <v>128</v>
      </c>
      <c r="B135">
        <v>1400</v>
      </c>
      <c r="C135">
        <v>27125</v>
      </c>
      <c r="D135">
        <v>0.62</v>
      </c>
      <c r="E135">
        <v>18.988600000000002</v>
      </c>
      <c r="F135">
        <v>3.4</v>
      </c>
      <c r="G135">
        <v>0.30929000000000001</v>
      </c>
      <c r="H135">
        <v>4.3</v>
      </c>
      <c r="I135">
        <v>4.2613999999999999E-2</v>
      </c>
      <c r="J135">
        <v>2.6</v>
      </c>
      <c r="K135">
        <v>0.60299999999999998</v>
      </c>
      <c r="L135">
        <v>269</v>
      </c>
      <c r="M135">
        <v>6.8</v>
      </c>
      <c r="N135">
        <v>273.60000000000002</v>
      </c>
      <c r="O135">
        <v>10.199999999999999</v>
      </c>
      <c r="P135">
        <v>313.3</v>
      </c>
      <c r="Q135">
        <v>77.400000000000006</v>
      </c>
      <c r="R135">
        <v>269</v>
      </c>
      <c r="S135">
        <v>6.8</v>
      </c>
      <c r="T135">
        <v>85.9</v>
      </c>
    </row>
    <row r="136" spans="1:20" x14ac:dyDescent="0.2">
      <c r="A136" t="s">
        <v>129</v>
      </c>
      <c r="B136">
        <v>1732</v>
      </c>
      <c r="C136">
        <v>167665</v>
      </c>
      <c r="D136">
        <v>6.47</v>
      </c>
      <c r="E136">
        <v>19.074300000000001</v>
      </c>
      <c r="F136">
        <v>2.4</v>
      </c>
      <c r="G136">
        <v>0.33592</v>
      </c>
      <c r="H136">
        <v>4</v>
      </c>
      <c r="I136">
        <v>4.6491999999999999E-2</v>
      </c>
      <c r="J136">
        <v>3.1</v>
      </c>
      <c r="K136">
        <v>0.79300000000000004</v>
      </c>
      <c r="L136">
        <v>292.89999999999998</v>
      </c>
      <c r="M136">
        <v>9</v>
      </c>
      <c r="N136">
        <v>294.10000000000002</v>
      </c>
      <c r="O136">
        <v>10.1</v>
      </c>
      <c r="P136">
        <v>303</v>
      </c>
      <c r="Q136">
        <v>55.2</v>
      </c>
      <c r="R136">
        <v>292.89999999999998</v>
      </c>
      <c r="S136">
        <v>9</v>
      </c>
      <c r="T136">
        <v>96.7</v>
      </c>
    </row>
    <row r="137" spans="1:20" x14ac:dyDescent="0.2">
      <c r="A137" t="s">
        <v>130</v>
      </c>
      <c r="B137">
        <v>215</v>
      </c>
      <c r="C137">
        <v>8666</v>
      </c>
      <c r="D137">
        <v>0.96</v>
      </c>
      <c r="E137">
        <v>19.6221</v>
      </c>
      <c r="F137">
        <v>6.4</v>
      </c>
      <c r="G137">
        <v>0.30902000000000002</v>
      </c>
      <c r="H137">
        <v>8.1</v>
      </c>
      <c r="I137">
        <v>4.3998000000000002E-2</v>
      </c>
      <c r="J137">
        <v>5</v>
      </c>
      <c r="K137">
        <v>0.61499999999999999</v>
      </c>
      <c r="L137">
        <v>277.60000000000002</v>
      </c>
      <c r="M137">
        <v>13.6</v>
      </c>
      <c r="N137">
        <v>273.39999999999998</v>
      </c>
      <c r="O137">
        <v>19.5</v>
      </c>
      <c r="P137">
        <v>238.1</v>
      </c>
      <c r="Q137">
        <v>148.1</v>
      </c>
      <c r="R137">
        <v>277.60000000000002</v>
      </c>
      <c r="S137">
        <v>13.6</v>
      </c>
      <c r="T137">
        <v>116.6</v>
      </c>
    </row>
    <row r="138" spans="1:20" x14ac:dyDescent="0.2">
      <c r="A138" t="s">
        <v>131</v>
      </c>
      <c r="B138">
        <v>652</v>
      </c>
      <c r="C138">
        <v>27649</v>
      </c>
      <c r="D138">
        <v>0.6</v>
      </c>
      <c r="E138">
        <v>18.967500000000001</v>
      </c>
      <c r="F138">
        <v>5.0999999999999996</v>
      </c>
      <c r="G138">
        <v>0.30129</v>
      </c>
      <c r="H138">
        <v>7.4</v>
      </c>
      <c r="I138">
        <v>4.1465000000000002E-2</v>
      </c>
      <c r="J138">
        <v>5.3</v>
      </c>
      <c r="K138">
        <v>0.72299999999999998</v>
      </c>
      <c r="L138">
        <v>261.89999999999998</v>
      </c>
      <c r="M138">
        <v>13.7</v>
      </c>
      <c r="N138">
        <v>267.39999999999998</v>
      </c>
      <c r="O138">
        <v>17.399999999999999</v>
      </c>
      <c r="P138">
        <v>315.8</v>
      </c>
      <c r="Q138">
        <v>116</v>
      </c>
      <c r="R138">
        <v>261.89999999999998</v>
      </c>
      <c r="S138">
        <v>13.7</v>
      </c>
      <c r="T138">
        <v>82.9</v>
      </c>
    </row>
    <row r="139" spans="1:20" x14ac:dyDescent="0.2">
      <c r="A139" t="s">
        <v>132</v>
      </c>
      <c r="B139">
        <v>388</v>
      </c>
      <c r="C139">
        <v>74257</v>
      </c>
      <c r="D139">
        <v>0.92</v>
      </c>
      <c r="E139">
        <v>18.737400000000001</v>
      </c>
      <c r="F139">
        <v>4.2</v>
      </c>
      <c r="G139">
        <v>0.30839</v>
      </c>
      <c r="H139">
        <v>6.8</v>
      </c>
      <c r="I139">
        <v>4.1928E-2</v>
      </c>
      <c r="J139">
        <v>5.3</v>
      </c>
      <c r="K139">
        <v>0.78800000000000003</v>
      </c>
      <c r="L139">
        <v>264.8</v>
      </c>
      <c r="M139">
        <v>13.9</v>
      </c>
      <c r="N139">
        <v>272.89999999999998</v>
      </c>
      <c r="O139">
        <v>16.3</v>
      </c>
      <c r="P139">
        <v>343.5</v>
      </c>
      <c r="Q139">
        <v>94.6</v>
      </c>
      <c r="R139">
        <v>264.8</v>
      </c>
      <c r="S139">
        <v>13.9</v>
      </c>
      <c r="T139">
        <v>77.099999999999994</v>
      </c>
    </row>
    <row r="140" spans="1:20" x14ac:dyDescent="0.2">
      <c r="A140" t="s">
        <v>133</v>
      </c>
      <c r="B140">
        <v>343</v>
      </c>
      <c r="C140">
        <v>7508</v>
      </c>
      <c r="D140">
        <v>0.86</v>
      </c>
      <c r="E140">
        <v>19.8264</v>
      </c>
      <c r="F140">
        <v>7.6</v>
      </c>
      <c r="G140">
        <v>0.29508000000000001</v>
      </c>
      <c r="H140">
        <v>8.4</v>
      </c>
      <c r="I140">
        <v>4.2450000000000002E-2</v>
      </c>
      <c r="J140">
        <v>3.7</v>
      </c>
      <c r="K140">
        <v>0.437</v>
      </c>
      <c r="L140">
        <v>268</v>
      </c>
      <c r="M140">
        <v>9.6</v>
      </c>
      <c r="N140">
        <v>262.60000000000002</v>
      </c>
      <c r="O140">
        <v>19.399999999999999</v>
      </c>
      <c r="P140">
        <v>214.2</v>
      </c>
      <c r="Q140">
        <v>175</v>
      </c>
      <c r="R140">
        <v>268</v>
      </c>
      <c r="S140">
        <v>9.6</v>
      </c>
      <c r="T140">
        <v>125.1</v>
      </c>
    </row>
    <row r="141" spans="1:20" x14ac:dyDescent="0.2">
      <c r="A141" t="s">
        <v>134</v>
      </c>
      <c r="B141">
        <v>626</v>
      </c>
      <c r="C141">
        <v>31548</v>
      </c>
      <c r="D141">
        <v>2.5</v>
      </c>
      <c r="E141">
        <v>18.667200000000001</v>
      </c>
      <c r="F141">
        <v>4.0999999999999996</v>
      </c>
      <c r="G141">
        <v>0.32479000000000002</v>
      </c>
      <c r="H141">
        <v>5.7</v>
      </c>
      <c r="I141">
        <v>4.3992000000000003E-2</v>
      </c>
      <c r="J141">
        <v>4</v>
      </c>
      <c r="K141">
        <v>0.70099999999999996</v>
      </c>
      <c r="L141">
        <v>277.5</v>
      </c>
      <c r="M141">
        <v>10.9</v>
      </c>
      <c r="N141">
        <v>285.60000000000002</v>
      </c>
      <c r="O141">
        <v>14.2</v>
      </c>
      <c r="P141">
        <v>352</v>
      </c>
      <c r="Q141">
        <v>92.2</v>
      </c>
      <c r="R141">
        <v>277.5</v>
      </c>
      <c r="S141">
        <v>10.9</v>
      </c>
      <c r="T141">
        <v>78.8</v>
      </c>
    </row>
    <row r="142" spans="1:20" x14ac:dyDescent="0.2">
      <c r="A142" t="s">
        <v>135</v>
      </c>
      <c r="B142">
        <v>564</v>
      </c>
      <c r="C142">
        <v>23527</v>
      </c>
      <c r="D142">
        <v>0.69</v>
      </c>
      <c r="E142">
        <v>19.2974</v>
      </c>
      <c r="F142">
        <v>4.3</v>
      </c>
      <c r="G142">
        <v>0.30471999999999999</v>
      </c>
      <c r="H142">
        <v>6.9</v>
      </c>
      <c r="I142">
        <v>4.2667999999999998E-2</v>
      </c>
      <c r="J142">
        <v>5.4</v>
      </c>
      <c r="K142">
        <v>0.78300000000000003</v>
      </c>
      <c r="L142">
        <v>269.3</v>
      </c>
      <c r="M142">
        <v>14.3</v>
      </c>
      <c r="N142">
        <v>270.10000000000002</v>
      </c>
      <c r="O142">
        <v>16.399999999999999</v>
      </c>
      <c r="P142">
        <v>276.5</v>
      </c>
      <c r="Q142">
        <v>98.4</v>
      </c>
      <c r="R142">
        <v>269.3</v>
      </c>
      <c r="S142">
        <v>14.3</v>
      </c>
      <c r="T142">
        <v>97.4</v>
      </c>
    </row>
    <row r="143" spans="1:20" x14ac:dyDescent="0.2">
      <c r="A143" t="s">
        <v>136</v>
      </c>
      <c r="B143">
        <v>793</v>
      </c>
      <c r="C143">
        <v>21881</v>
      </c>
      <c r="D143">
        <v>5.67</v>
      </c>
      <c r="E143">
        <v>19.258299999999998</v>
      </c>
      <c r="F143">
        <v>2.8</v>
      </c>
      <c r="G143">
        <v>0.31146000000000001</v>
      </c>
      <c r="H143">
        <v>3.7</v>
      </c>
      <c r="I143">
        <v>4.3522999999999999E-2</v>
      </c>
      <c r="J143">
        <v>2.4</v>
      </c>
      <c r="K143">
        <v>0.65100000000000002</v>
      </c>
      <c r="L143">
        <v>274.60000000000002</v>
      </c>
      <c r="M143">
        <v>6.5</v>
      </c>
      <c r="N143">
        <v>275.3</v>
      </c>
      <c r="O143">
        <v>8.9</v>
      </c>
      <c r="P143">
        <v>281.10000000000002</v>
      </c>
      <c r="Q143">
        <v>64.3</v>
      </c>
      <c r="R143">
        <v>274.60000000000002</v>
      </c>
      <c r="S143">
        <v>6.5</v>
      </c>
      <c r="T143">
        <v>97.7</v>
      </c>
    </row>
    <row r="144" spans="1:20" x14ac:dyDescent="0.2">
      <c r="A144" t="s">
        <v>137</v>
      </c>
      <c r="B144">
        <v>596</v>
      </c>
      <c r="C144">
        <v>5725</v>
      </c>
      <c r="D144">
        <v>5.93</v>
      </c>
      <c r="E144">
        <v>19.6279</v>
      </c>
      <c r="F144">
        <v>4.5</v>
      </c>
      <c r="G144">
        <v>0.37242999999999998</v>
      </c>
      <c r="H144">
        <v>5.5</v>
      </c>
      <c r="I144">
        <v>5.3040999999999998E-2</v>
      </c>
      <c r="J144">
        <v>3.1</v>
      </c>
      <c r="K144">
        <v>0.56599999999999995</v>
      </c>
      <c r="L144">
        <v>333.2</v>
      </c>
      <c r="M144">
        <v>10.1</v>
      </c>
      <c r="N144">
        <v>321.5</v>
      </c>
      <c r="O144">
        <v>15.1</v>
      </c>
      <c r="P144">
        <v>237.4</v>
      </c>
      <c r="Q144">
        <v>104.4</v>
      </c>
      <c r="R144">
        <v>333.2</v>
      </c>
      <c r="S144">
        <v>10.1</v>
      </c>
      <c r="T144">
        <v>140.4</v>
      </c>
    </row>
    <row r="145" spans="1:20" x14ac:dyDescent="0.2">
      <c r="A145" t="s">
        <v>138</v>
      </c>
      <c r="B145">
        <v>390</v>
      </c>
      <c r="C145">
        <v>200636</v>
      </c>
      <c r="D145">
        <v>0.66</v>
      </c>
      <c r="E145">
        <v>18.924499999999998</v>
      </c>
      <c r="F145">
        <v>4.5</v>
      </c>
      <c r="G145">
        <v>0.31746999999999997</v>
      </c>
      <c r="H145">
        <v>6.2</v>
      </c>
      <c r="I145">
        <v>4.3593E-2</v>
      </c>
      <c r="J145">
        <v>4.3</v>
      </c>
      <c r="K145">
        <v>0.69599999999999995</v>
      </c>
      <c r="L145">
        <v>275.10000000000002</v>
      </c>
      <c r="M145">
        <v>11.6</v>
      </c>
      <c r="N145">
        <v>280</v>
      </c>
      <c r="O145">
        <v>15.2</v>
      </c>
      <c r="P145">
        <v>321</v>
      </c>
      <c r="Q145">
        <v>101.2</v>
      </c>
      <c r="R145">
        <v>275.10000000000002</v>
      </c>
      <c r="S145">
        <v>11.6</v>
      </c>
      <c r="T145">
        <v>85.7</v>
      </c>
    </row>
    <row r="146" spans="1:20" x14ac:dyDescent="0.2">
      <c r="A146" t="s">
        <v>139</v>
      </c>
      <c r="B146">
        <v>1787</v>
      </c>
      <c r="C146">
        <v>187185</v>
      </c>
      <c r="D146">
        <v>4.9800000000000004</v>
      </c>
      <c r="E146">
        <v>18.765799999999999</v>
      </c>
      <c r="F146">
        <v>2.9</v>
      </c>
      <c r="G146">
        <v>0.34647</v>
      </c>
      <c r="H146">
        <v>4</v>
      </c>
      <c r="I146">
        <v>4.7176000000000003E-2</v>
      </c>
      <c r="J146">
        <v>2.7</v>
      </c>
      <c r="K146">
        <v>0.68400000000000005</v>
      </c>
      <c r="L146">
        <v>297.2</v>
      </c>
      <c r="M146">
        <v>7.9</v>
      </c>
      <c r="N146">
        <v>302.10000000000002</v>
      </c>
      <c r="O146">
        <v>10.4</v>
      </c>
      <c r="P146">
        <v>340.1</v>
      </c>
      <c r="Q146">
        <v>65.8</v>
      </c>
      <c r="R146">
        <v>297.2</v>
      </c>
      <c r="S146">
        <v>7.9</v>
      </c>
      <c r="T146">
        <v>87.4</v>
      </c>
    </row>
    <row r="147" spans="1:20" x14ac:dyDescent="0.2">
      <c r="A147" t="s">
        <v>140</v>
      </c>
      <c r="B147">
        <v>552</v>
      </c>
      <c r="C147">
        <v>134733</v>
      </c>
      <c r="D147">
        <v>4.17</v>
      </c>
      <c r="E147">
        <v>18.994599999999998</v>
      </c>
      <c r="F147">
        <v>5.9</v>
      </c>
      <c r="G147">
        <v>0.32599</v>
      </c>
      <c r="H147">
        <v>8.6999999999999993</v>
      </c>
      <c r="I147">
        <v>4.4928999999999997E-2</v>
      </c>
      <c r="J147">
        <v>6.4</v>
      </c>
      <c r="K147">
        <v>0.73</v>
      </c>
      <c r="L147">
        <v>283.3</v>
      </c>
      <c r="M147">
        <v>17.600000000000001</v>
      </c>
      <c r="N147">
        <v>286.5</v>
      </c>
      <c r="O147">
        <v>21.7</v>
      </c>
      <c r="P147">
        <v>312.60000000000002</v>
      </c>
      <c r="Q147">
        <v>135.19999999999999</v>
      </c>
      <c r="R147">
        <v>283.3</v>
      </c>
      <c r="S147">
        <v>17.600000000000001</v>
      </c>
      <c r="T147">
        <v>90.6</v>
      </c>
    </row>
    <row r="148" spans="1:20" x14ac:dyDescent="0.2">
      <c r="A148" t="s">
        <v>141</v>
      </c>
      <c r="B148">
        <v>343</v>
      </c>
      <c r="C148">
        <v>210062</v>
      </c>
      <c r="D148">
        <v>0.63</v>
      </c>
      <c r="E148">
        <v>19.330100000000002</v>
      </c>
      <c r="F148">
        <v>5</v>
      </c>
      <c r="G148">
        <v>0.30259999999999998</v>
      </c>
      <c r="H148">
        <v>6</v>
      </c>
      <c r="I148">
        <v>4.2442000000000001E-2</v>
      </c>
      <c r="J148">
        <v>3.4</v>
      </c>
      <c r="K148">
        <v>0.55800000000000005</v>
      </c>
      <c r="L148">
        <v>268</v>
      </c>
      <c r="M148">
        <v>8.8000000000000007</v>
      </c>
      <c r="N148">
        <v>268.39999999999998</v>
      </c>
      <c r="O148">
        <v>14.2</v>
      </c>
      <c r="P148">
        <v>272.60000000000002</v>
      </c>
      <c r="Q148">
        <v>114.5</v>
      </c>
      <c r="R148">
        <v>268</v>
      </c>
      <c r="S148">
        <v>8.8000000000000007</v>
      </c>
      <c r="T148">
        <v>98.3</v>
      </c>
    </row>
    <row r="149" spans="1:20" x14ac:dyDescent="0.2">
      <c r="A149" t="s">
        <v>142</v>
      </c>
      <c r="B149">
        <v>771</v>
      </c>
      <c r="C149">
        <v>24828</v>
      </c>
      <c r="D149">
        <v>3.18</v>
      </c>
      <c r="E149">
        <v>19.253699999999998</v>
      </c>
      <c r="F149">
        <v>3.1</v>
      </c>
      <c r="G149">
        <v>0.32851999999999998</v>
      </c>
      <c r="H149">
        <v>4.0999999999999996</v>
      </c>
      <c r="I149">
        <v>4.5895999999999999E-2</v>
      </c>
      <c r="J149">
        <v>2.7</v>
      </c>
      <c r="K149">
        <v>0.64800000000000002</v>
      </c>
      <c r="L149">
        <v>289.3</v>
      </c>
      <c r="M149">
        <v>7.5</v>
      </c>
      <c r="N149">
        <v>288.39999999999998</v>
      </c>
      <c r="O149">
        <v>10.3</v>
      </c>
      <c r="P149">
        <v>281.7</v>
      </c>
      <c r="Q149">
        <v>71.400000000000006</v>
      </c>
      <c r="R149">
        <v>289.3</v>
      </c>
      <c r="S149">
        <v>7.5</v>
      </c>
      <c r="T149">
        <v>102.7</v>
      </c>
    </row>
    <row r="150" spans="1:20" x14ac:dyDescent="0.2">
      <c r="A150" t="s">
        <v>143</v>
      </c>
      <c r="B150">
        <v>1088</v>
      </c>
      <c r="C150">
        <v>29900</v>
      </c>
      <c r="D150">
        <v>3.45</v>
      </c>
      <c r="E150">
        <v>18.019100000000002</v>
      </c>
      <c r="F150">
        <v>2.8</v>
      </c>
      <c r="G150">
        <v>0.35626000000000002</v>
      </c>
      <c r="H150">
        <v>3.6</v>
      </c>
      <c r="I150">
        <v>4.6579000000000002E-2</v>
      </c>
      <c r="J150">
        <v>2.2999999999999998</v>
      </c>
      <c r="K150">
        <v>0.64100000000000001</v>
      </c>
      <c r="L150">
        <v>293.5</v>
      </c>
      <c r="M150">
        <v>6.7</v>
      </c>
      <c r="N150">
        <v>309.39999999999998</v>
      </c>
      <c r="O150">
        <v>9.6999999999999993</v>
      </c>
      <c r="P150">
        <v>431.3</v>
      </c>
      <c r="Q150">
        <v>62</v>
      </c>
      <c r="R150">
        <v>293.5</v>
      </c>
      <c r="S150">
        <v>6.7</v>
      </c>
      <c r="T150">
        <v>68.099999999999994</v>
      </c>
    </row>
    <row r="151" spans="1:20" x14ac:dyDescent="0.2">
      <c r="A151" t="s">
        <v>144</v>
      </c>
      <c r="B151">
        <v>160</v>
      </c>
      <c r="C151">
        <v>4809</v>
      </c>
      <c r="D151">
        <v>0.83</v>
      </c>
      <c r="E151">
        <v>20.223800000000001</v>
      </c>
      <c r="F151">
        <v>9.8000000000000007</v>
      </c>
      <c r="G151">
        <v>0.28969</v>
      </c>
      <c r="H151">
        <v>11.8</v>
      </c>
      <c r="I151">
        <v>4.2508999999999998E-2</v>
      </c>
      <c r="J151">
        <v>6.5</v>
      </c>
      <c r="K151">
        <v>0.54900000000000004</v>
      </c>
      <c r="L151">
        <v>268.39999999999998</v>
      </c>
      <c r="M151">
        <v>17</v>
      </c>
      <c r="N151">
        <v>258.3</v>
      </c>
      <c r="O151">
        <v>26.8</v>
      </c>
      <c r="P151">
        <v>168</v>
      </c>
      <c r="Q151">
        <v>229.6</v>
      </c>
      <c r="R151">
        <v>268.39999999999998</v>
      </c>
      <c r="S151">
        <v>17</v>
      </c>
      <c r="T151">
        <v>159.80000000000001</v>
      </c>
    </row>
    <row r="152" spans="1:20" x14ac:dyDescent="0.2">
      <c r="A152" t="s">
        <v>145</v>
      </c>
      <c r="B152">
        <v>1170</v>
      </c>
      <c r="C152">
        <v>18965</v>
      </c>
      <c r="D152">
        <v>0.61</v>
      </c>
      <c r="E152">
        <v>19.365100000000002</v>
      </c>
      <c r="F152">
        <v>4</v>
      </c>
      <c r="G152">
        <v>0.30307000000000001</v>
      </c>
      <c r="H152">
        <v>4.7</v>
      </c>
      <c r="I152">
        <v>4.2583999999999997E-2</v>
      </c>
      <c r="J152">
        <v>2.6</v>
      </c>
      <c r="K152">
        <v>0.54600000000000004</v>
      </c>
      <c r="L152">
        <v>268.8</v>
      </c>
      <c r="M152">
        <v>6.8</v>
      </c>
      <c r="N152">
        <v>268.8</v>
      </c>
      <c r="O152">
        <v>11.2</v>
      </c>
      <c r="P152">
        <v>268.39999999999998</v>
      </c>
      <c r="Q152">
        <v>91.1</v>
      </c>
      <c r="R152">
        <v>268.8</v>
      </c>
      <c r="S152">
        <v>6.8</v>
      </c>
      <c r="T152">
        <v>100.1</v>
      </c>
    </row>
    <row r="153" spans="1:20" x14ac:dyDescent="0.2">
      <c r="A153" t="s">
        <v>146</v>
      </c>
      <c r="B153">
        <v>535</v>
      </c>
      <c r="C153">
        <v>14476</v>
      </c>
      <c r="D153">
        <v>0.55000000000000004</v>
      </c>
      <c r="E153">
        <v>19.584599999999998</v>
      </c>
      <c r="F153">
        <v>4.9000000000000004</v>
      </c>
      <c r="G153">
        <v>0.30170000000000002</v>
      </c>
      <c r="H153">
        <v>5.9</v>
      </c>
      <c r="I153">
        <v>4.2874000000000002E-2</v>
      </c>
      <c r="J153">
        <v>3.2</v>
      </c>
      <c r="K153">
        <v>0.54700000000000004</v>
      </c>
      <c r="L153">
        <v>270.60000000000002</v>
      </c>
      <c r="M153">
        <v>8.5</v>
      </c>
      <c r="N153">
        <v>267.7</v>
      </c>
      <c r="O153">
        <v>13.8</v>
      </c>
      <c r="P153">
        <v>242.5</v>
      </c>
      <c r="Q153">
        <v>113.2</v>
      </c>
      <c r="R153">
        <v>270.60000000000002</v>
      </c>
      <c r="S153">
        <v>8.5</v>
      </c>
      <c r="T153">
        <v>111.6</v>
      </c>
    </row>
    <row r="154" spans="1:20" x14ac:dyDescent="0.2">
      <c r="A154" t="s">
        <v>147</v>
      </c>
      <c r="B154">
        <v>1086</v>
      </c>
      <c r="C154">
        <v>17521</v>
      </c>
      <c r="D154">
        <v>0.64</v>
      </c>
      <c r="E154">
        <v>19.1614</v>
      </c>
      <c r="F154">
        <v>3.8</v>
      </c>
      <c r="G154">
        <v>0.31242999999999999</v>
      </c>
      <c r="H154">
        <v>4.8</v>
      </c>
      <c r="I154">
        <v>4.3438999999999998E-2</v>
      </c>
      <c r="J154">
        <v>2.8</v>
      </c>
      <c r="K154">
        <v>0.59499999999999997</v>
      </c>
      <c r="L154">
        <v>274.10000000000002</v>
      </c>
      <c r="M154">
        <v>7.6</v>
      </c>
      <c r="N154">
        <v>276.10000000000002</v>
      </c>
      <c r="O154">
        <v>11.6</v>
      </c>
      <c r="P154">
        <v>292.60000000000002</v>
      </c>
      <c r="Q154">
        <v>87.8</v>
      </c>
      <c r="R154">
        <v>274.10000000000002</v>
      </c>
      <c r="S154">
        <v>7.6</v>
      </c>
      <c r="T154">
        <v>93.7</v>
      </c>
    </row>
    <row r="155" spans="1:20" x14ac:dyDescent="0.2">
      <c r="A155" t="s">
        <v>148</v>
      </c>
      <c r="B155">
        <v>754</v>
      </c>
      <c r="C155">
        <v>45056</v>
      </c>
      <c r="D155">
        <v>10.65</v>
      </c>
      <c r="E155">
        <v>18.596299999999999</v>
      </c>
      <c r="F155">
        <v>2.7</v>
      </c>
      <c r="G155">
        <v>0.40053</v>
      </c>
      <c r="H155">
        <v>4</v>
      </c>
      <c r="I155">
        <v>5.4045000000000003E-2</v>
      </c>
      <c r="J155">
        <v>2.9</v>
      </c>
      <c r="K155">
        <v>0.73899999999999999</v>
      </c>
      <c r="L155">
        <v>339.3</v>
      </c>
      <c r="M155">
        <v>9.6999999999999993</v>
      </c>
      <c r="N155">
        <v>342</v>
      </c>
      <c r="O155">
        <v>11.5</v>
      </c>
      <c r="P155">
        <v>360.6</v>
      </c>
      <c r="Q155">
        <v>60.1</v>
      </c>
      <c r="R155">
        <v>339.3</v>
      </c>
      <c r="S155">
        <v>9.6999999999999993</v>
      </c>
      <c r="T155">
        <v>94.1</v>
      </c>
    </row>
    <row r="156" spans="1:20" x14ac:dyDescent="0.2">
      <c r="A156" t="s">
        <v>149</v>
      </c>
      <c r="B156">
        <v>671</v>
      </c>
      <c r="C156">
        <v>15843</v>
      </c>
      <c r="D156">
        <v>0.45</v>
      </c>
      <c r="E156">
        <v>19.037199999999999</v>
      </c>
      <c r="F156">
        <v>4.5999999999999996</v>
      </c>
      <c r="G156">
        <v>0.30173</v>
      </c>
      <c r="H156">
        <v>5.4</v>
      </c>
      <c r="I156">
        <v>4.1679000000000001E-2</v>
      </c>
      <c r="J156">
        <v>3</v>
      </c>
      <c r="K156">
        <v>0.54700000000000004</v>
      </c>
      <c r="L156">
        <v>263.2</v>
      </c>
      <c r="M156">
        <v>7.7</v>
      </c>
      <c r="N156">
        <v>267.7</v>
      </c>
      <c r="O156">
        <v>12.8</v>
      </c>
      <c r="P156">
        <v>307.39999999999998</v>
      </c>
      <c r="Q156">
        <v>103.7</v>
      </c>
      <c r="R156">
        <v>263.2</v>
      </c>
      <c r="S156">
        <v>7.7</v>
      </c>
      <c r="T156">
        <v>85.6</v>
      </c>
    </row>
    <row r="157" spans="1:20" x14ac:dyDescent="0.2">
      <c r="A157" t="s">
        <v>150</v>
      </c>
      <c r="B157">
        <v>199</v>
      </c>
      <c r="C157">
        <v>1000</v>
      </c>
      <c r="D157">
        <v>1.44</v>
      </c>
      <c r="E157">
        <v>26.845199999999998</v>
      </c>
      <c r="F157">
        <v>60.4</v>
      </c>
      <c r="G157">
        <v>0.22115000000000001</v>
      </c>
      <c r="H157">
        <v>60.6</v>
      </c>
      <c r="I157">
        <v>4.3076000000000003E-2</v>
      </c>
      <c r="J157">
        <v>4.9000000000000004</v>
      </c>
      <c r="K157">
        <v>8.1000000000000003E-2</v>
      </c>
      <c r="L157">
        <v>271.89999999999998</v>
      </c>
      <c r="M157">
        <v>13.1</v>
      </c>
      <c r="N157">
        <v>202.9</v>
      </c>
      <c r="O157">
        <v>111.5</v>
      </c>
      <c r="P157">
        <v>539.6</v>
      </c>
      <c r="Q157">
        <v>1651.2</v>
      </c>
      <c r="R157">
        <v>271.89999999999998</v>
      </c>
      <c r="S157">
        <v>13.1</v>
      </c>
      <c r="T157">
        <v>50.4</v>
      </c>
    </row>
    <row r="158" spans="1:20" x14ac:dyDescent="0.2">
      <c r="A158" t="s">
        <v>151</v>
      </c>
      <c r="B158">
        <v>152</v>
      </c>
      <c r="C158">
        <v>5409</v>
      </c>
      <c r="D158">
        <v>0.78</v>
      </c>
      <c r="E158">
        <v>19.579499999999999</v>
      </c>
      <c r="F158">
        <v>10.1</v>
      </c>
      <c r="G158">
        <v>0.30632999999999999</v>
      </c>
      <c r="H158">
        <v>11.2</v>
      </c>
      <c r="I158">
        <v>4.3519000000000002E-2</v>
      </c>
      <c r="J158">
        <v>4.8</v>
      </c>
      <c r="K158">
        <v>0.43</v>
      </c>
      <c r="L158">
        <v>274.60000000000002</v>
      </c>
      <c r="M158">
        <v>12.9</v>
      </c>
      <c r="N158">
        <v>271.3</v>
      </c>
      <c r="O158">
        <v>26.6</v>
      </c>
      <c r="P158">
        <v>243.1</v>
      </c>
      <c r="Q158">
        <v>232.3</v>
      </c>
      <c r="R158">
        <v>274.60000000000002</v>
      </c>
      <c r="S158">
        <v>12.9</v>
      </c>
      <c r="T158">
        <v>113</v>
      </c>
    </row>
    <row r="159" spans="1:20" x14ac:dyDescent="0.2">
      <c r="A159" t="s">
        <v>152</v>
      </c>
      <c r="B159">
        <v>672</v>
      </c>
      <c r="C159">
        <v>9963</v>
      </c>
      <c r="D159">
        <v>0.63</v>
      </c>
      <c r="E159">
        <v>19.450099999999999</v>
      </c>
      <c r="F159">
        <v>5.4</v>
      </c>
      <c r="G159">
        <v>0.30598999999999998</v>
      </c>
      <c r="H159">
        <v>6</v>
      </c>
      <c r="I159">
        <v>4.3184E-2</v>
      </c>
      <c r="J159">
        <v>2.6</v>
      </c>
      <c r="K159">
        <v>0.442</v>
      </c>
      <c r="L159">
        <v>272.5</v>
      </c>
      <c r="M159">
        <v>7.1</v>
      </c>
      <c r="N159">
        <v>271.10000000000002</v>
      </c>
      <c r="O159">
        <v>14.2</v>
      </c>
      <c r="P159">
        <v>258.39999999999998</v>
      </c>
      <c r="Q159">
        <v>123.3</v>
      </c>
      <c r="R159">
        <v>272.5</v>
      </c>
      <c r="S159">
        <v>7.1</v>
      </c>
      <c r="T159">
        <v>105.5</v>
      </c>
    </row>
    <row r="160" spans="1:20" x14ac:dyDescent="0.2">
      <c r="A160" t="s">
        <v>153</v>
      </c>
      <c r="B160">
        <v>932</v>
      </c>
      <c r="C160">
        <v>47742</v>
      </c>
      <c r="D160">
        <v>0.74</v>
      </c>
      <c r="E160">
        <v>18.968399999999999</v>
      </c>
      <c r="F160">
        <v>2.2999999999999998</v>
      </c>
      <c r="G160">
        <v>0.31324000000000002</v>
      </c>
      <c r="H160">
        <v>3.6</v>
      </c>
      <c r="I160">
        <v>4.3111999999999998E-2</v>
      </c>
      <c r="J160">
        <v>2.8</v>
      </c>
      <c r="K160">
        <v>0.76200000000000001</v>
      </c>
      <c r="L160">
        <v>272.10000000000002</v>
      </c>
      <c r="M160">
        <v>7.3</v>
      </c>
      <c r="N160">
        <v>276.7</v>
      </c>
      <c r="O160">
        <v>8.8000000000000007</v>
      </c>
      <c r="P160">
        <v>315.7</v>
      </c>
      <c r="Q160">
        <v>53.2</v>
      </c>
      <c r="R160">
        <v>272.10000000000002</v>
      </c>
      <c r="S160">
        <v>7.3</v>
      </c>
      <c r="T160">
        <v>86.2</v>
      </c>
    </row>
    <row r="161" spans="1:20" x14ac:dyDescent="0.2">
      <c r="A161" t="s">
        <v>154</v>
      </c>
      <c r="B161">
        <v>757</v>
      </c>
      <c r="C161">
        <v>9991</v>
      </c>
      <c r="D161">
        <v>0.43</v>
      </c>
      <c r="E161">
        <v>19.595500000000001</v>
      </c>
      <c r="F161">
        <v>5.2</v>
      </c>
      <c r="G161">
        <v>0.30136000000000002</v>
      </c>
      <c r="H161">
        <v>5.6</v>
      </c>
      <c r="I161">
        <v>4.2848999999999998E-2</v>
      </c>
      <c r="J161">
        <v>2.2000000000000002</v>
      </c>
      <c r="K161">
        <v>0.39</v>
      </c>
      <c r="L161">
        <v>270.5</v>
      </c>
      <c r="M161">
        <v>5.8</v>
      </c>
      <c r="N161">
        <v>267.5</v>
      </c>
      <c r="O161">
        <v>13.2</v>
      </c>
      <c r="P161">
        <v>241.2</v>
      </c>
      <c r="Q161">
        <v>118.8</v>
      </c>
      <c r="R161">
        <v>270.5</v>
      </c>
      <c r="S161">
        <v>5.8</v>
      </c>
      <c r="T161">
        <v>112.1</v>
      </c>
    </row>
    <row r="162" spans="1:20" x14ac:dyDescent="0.2">
      <c r="A162" t="s">
        <v>155</v>
      </c>
      <c r="B162">
        <v>1749</v>
      </c>
      <c r="C162">
        <v>26967</v>
      </c>
      <c r="D162">
        <v>0.67</v>
      </c>
      <c r="E162">
        <v>19.7361</v>
      </c>
      <c r="F162">
        <v>2.7</v>
      </c>
      <c r="G162">
        <v>0.30418000000000001</v>
      </c>
      <c r="H162">
        <v>3.2</v>
      </c>
      <c r="I162">
        <v>4.3559E-2</v>
      </c>
      <c r="J162">
        <v>1.8</v>
      </c>
      <c r="K162">
        <v>0.56799999999999995</v>
      </c>
      <c r="L162">
        <v>274.89999999999998</v>
      </c>
      <c r="M162">
        <v>5</v>
      </c>
      <c r="N162">
        <v>269.7</v>
      </c>
      <c r="O162">
        <v>7.7</v>
      </c>
      <c r="P162">
        <v>224.7</v>
      </c>
      <c r="Q162">
        <v>61.7</v>
      </c>
      <c r="R162">
        <v>274.89999999999998</v>
      </c>
      <c r="S162">
        <v>5</v>
      </c>
      <c r="T162">
        <v>122.3</v>
      </c>
    </row>
    <row r="163" spans="1:20" x14ac:dyDescent="0.2">
      <c r="A163" t="s">
        <v>156</v>
      </c>
      <c r="B163">
        <v>160</v>
      </c>
      <c r="C163">
        <v>15603</v>
      </c>
      <c r="D163">
        <v>0.9</v>
      </c>
      <c r="E163">
        <v>18.581700000000001</v>
      </c>
      <c r="F163">
        <v>6.9</v>
      </c>
      <c r="G163">
        <v>0.31812000000000001</v>
      </c>
      <c r="H163">
        <v>8.1</v>
      </c>
      <c r="I163">
        <v>4.2892E-2</v>
      </c>
      <c r="J163">
        <v>4.3</v>
      </c>
      <c r="K163">
        <v>0.53300000000000003</v>
      </c>
      <c r="L163">
        <v>270.7</v>
      </c>
      <c r="M163">
        <v>11.5</v>
      </c>
      <c r="N163">
        <v>280.5</v>
      </c>
      <c r="O163">
        <v>19.899999999999999</v>
      </c>
      <c r="P163">
        <v>362.3</v>
      </c>
      <c r="Q163">
        <v>154.6</v>
      </c>
      <c r="R163">
        <v>270.7</v>
      </c>
      <c r="S163">
        <v>11.5</v>
      </c>
      <c r="T163">
        <v>74.7</v>
      </c>
    </row>
    <row r="164" spans="1:20" x14ac:dyDescent="0.2">
      <c r="A164" t="s">
        <v>157</v>
      </c>
      <c r="B164">
        <v>1134</v>
      </c>
      <c r="C164">
        <v>73516</v>
      </c>
      <c r="D164">
        <v>1.85</v>
      </c>
      <c r="E164">
        <v>18.866099999999999</v>
      </c>
      <c r="F164">
        <v>2.9</v>
      </c>
      <c r="G164">
        <v>0.38369999999999999</v>
      </c>
      <c r="H164">
        <v>3.7</v>
      </c>
      <c r="I164">
        <v>5.2525000000000002E-2</v>
      </c>
      <c r="J164">
        <v>2.4</v>
      </c>
      <c r="K164">
        <v>0.63600000000000001</v>
      </c>
      <c r="L164">
        <v>330</v>
      </c>
      <c r="M164">
        <v>7.6</v>
      </c>
      <c r="N164">
        <v>329.8</v>
      </c>
      <c r="O164">
        <v>10.5</v>
      </c>
      <c r="P164">
        <v>328</v>
      </c>
      <c r="Q164">
        <v>65.2</v>
      </c>
      <c r="R164">
        <v>330</v>
      </c>
      <c r="S164">
        <v>7.6</v>
      </c>
      <c r="T164">
        <v>100.6</v>
      </c>
    </row>
    <row r="165" spans="1:20" x14ac:dyDescent="0.2">
      <c r="A165" t="s">
        <v>158</v>
      </c>
      <c r="B165">
        <v>278</v>
      </c>
      <c r="C165">
        <v>1000</v>
      </c>
      <c r="D165">
        <v>0.63</v>
      </c>
      <c r="E165">
        <v>26.442699999999999</v>
      </c>
      <c r="F165">
        <v>59.6</v>
      </c>
      <c r="G165">
        <v>0.22742000000000001</v>
      </c>
      <c r="H165">
        <v>59.8</v>
      </c>
      <c r="I165">
        <v>4.3633999999999999E-2</v>
      </c>
      <c r="J165">
        <v>3.9</v>
      </c>
      <c r="K165">
        <v>6.5000000000000002E-2</v>
      </c>
      <c r="L165">
        <v>275.3</v>
      </c>
      <c r="M165">
        <v>10.4</v>
      </c>
      <c r="N165">
        <v>208.1</v>
      </c>
      <c r="O165">
        <v>112.5</v>
      </c>
      <c r="P165">
        <v>499.2</v>
      </c>
      <c r="Q165">
        <v>1616.5</v>
      </c>
      <c r="R165">
        <v>275.3</v>
      </c>
      <c r="S165">
        <v>10.4</v>
      </c>
      <c r="T165">
        <v>55.1</v>
      </c>
    </row>
    <row r="166" spans="1:20" x14ac:dyDescent="0.2">
      <c r="A166" t="s">
        <v>159</v>
      </c>
      <c r="B166">
        <v>547</v>
      </c>
      <c r="C166">
        <v>97940</v>
      </c>
      <c r="D166">
        <v>0.69</v>
      </c>
      <c r="E166">
        <v>18.702300000000001</v>
      </c>
      <c r="F166">
        <v>3.9</v>
      </c>
      <c r="G166">
        <v>0.32329999999999998</v>
      </c>
      <c r="H166">
        <v>4.7</v>
      </c>
      <c r="I166">
        <v>4.3872000000000001E-2</v>
      </c>
      <c r="J166">
        <v>2.7</v>
      </c>
      <c r="K166">
        <v>0.56699999999999995</v>
      </c>
      <c r="L166">
        <v>276.8</v>
      </c>
      <c r="M166">
        <v>7.2</v>
      </c>
      <c r="N166">
        <v>284.39999999999998</v>
      </c>
      <c r="O166">
        <v>11.7</v>
      </c>
      <c r="P166">
        <v>347.7</v>
      </c>
      <c r="Q166">
        <v>87.7</v>
      </c>
      <c r="R166">
        <v>276.8</v>
      </c>
      <c r="S166">
        <v>7.2</v>
      </c>
      <c r="T166">
        <v>79.599999999999994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3229A-EB68-4245-9182-6314F835A3AD}">
  <dimension ref="A1:BL69"/>
  <sheetViews>
    <sheetView workbookViewId="0">
      <selection activeCell="P19" sqref="P19"/>
    </sheetView>
  </sheetViews>
  <sheetFormatPr baseColWidth="10" defaultRowHeight="15" x14ac:dyDescent="0.2"/>
  <sheetData>
    <row r="1" spans="1:49" x14ac:dyDescent="0.2">
      <c r="A1" t="s">
        <v>0</v>
      </c>
      <c r="W1" t="s">
        <v>207</v>
      </c>
      <c r="X1" t="s">
        <v>226</v>
      </c>
      <c r="Y1" t="s">
        <v>231</v>
      </c>
      <c r="Z1" t="s">
        <v>237</v>
      </c>
      <c r="AA1" t="s">
        <v>243</v>
      </c>
      <c r="AB1" t="s">
        <v>249</v>
      </c>
      <c r="AC1" t="s">
        <v>255</v>
      </c>
      <c r="AD1" t="s">
        <v>261</v>
      </c>
      <c r="AE1" t="s">
        <v>267</v>
      </c>
      <c r="AF1" t="s">
        <v>272</v>
      </c>
      <c r="AG1" t="s">
        <v>277</v>
      </c>
      <c r="AH1" t="s">
        <v>282</v>
      </c>
      <c r="AI1" t="s">
        <v>292</v>
      </c>
      <c r="AJ1" t="s">
        <v>302</v>
      </c>
      <c r="AK1" t="s">
        <v>309</v>
      </c>
      <c r="AL1" t="s">
        <v>314</v>
      </c>
      <c r="AM1" t="s">
        <v>322</v>
      </c>
      <c r="AN1" t="s">
        <v>328</v>
      </c>
      <c r="AO1" t="s">
        <v>334</v>
      </c>
      <c r="AP1" t="s">
        <v>342</v>
      </c>
      <c r="AQ1" t="s">
        <v>347</v>
      </c>
      <c r="AR1" t="s">
        <v>350</v>
      </c>
      <c r="AS1" t="s">
        <v>352</v>
      </c>
      <c r="AT1" t="s">
        <v>431</v>
      </c>
      <c r="AU1" t="s">
        <v>436</v>
      </c>
      <c r="AV1" t="s">
        <v>442</v>
      </c>
      <c r="AW1" t="s">
        <v>447</v>
      </c>
    </row>
    <row r="2" spans="1:49" x14ac:dyDescent="0.2">
      <c r="A2" t="s">
        <v>1</v>
      </c>
      <c r="N2">
        <v>250</v>
      </c>
      <c r="W2" t="s">
        <v>208</v>
      </c>
      <c r="X2" t="s">
        <v>227</v>
      </c>
      <c r="Y2" t="s">
        <v>232</v>
      </c>
      <c r="Z2" t="s">
        <v>238</v>
      </c>
      <c r="AA2" t="s">
        <v>238</v>
      </c>
      <c r="AB2" t="s">
        <v>238</v>
      </c>
      <c r="AC2" t="s">
        <v>238</v>
      </c>
      <c r="AD2" t="s">
        <v>262</v>
      </c>
      <c r="AE2" t="s">
        <v>268</v>
      </c>
      <c r="AF2" t="s">
        <v>268</v>
      </c>
      <c r="AG2" t="s">
        <v>268</v>
      </c>
      <c r="AH2" t="s">
        <v>268</v>
      </c>
      <c r="AI2" t="s">
        <v>293</v>
      </c>
      <c r="AJ2" t="s">
        <v>303</v>
      </c>
      <c r="AO2" t="s">
        <v>335</v>
      </c>
      <c r="AP2" t="s">
        <v>335</v>
      </c>
      <c r="AQ2" t="s">
        <v>348</v>
      </c>
      <c r="AR2" t="s">
        <v>239</v>
      </c>
      <c r="AS2" t="s">
        <v>245</v>
      </c>
      <c r="AT2" t="s">
        <v>268</v>
      </c>
      <c r="AU2" t="s">
        <v>245</v>
      </c>
      <c r="AV2" t="s">
        <v>245</v>
      </c>
      <c r="AW2" t="s">
        <v>448</v>
      </c>
    </row>
    <row r="3" spans="1:49" x14ac:dyDescent="0.2">
      <c r="A3" t="s">
        <v>2</v>
      </c>
      <c r="N3">
        <v>275</v>
      </c>
      <c r="W3" t="s">
        <v>209</v>
      </c>
      <c r="Z3" t="s">
        <v>239</v>
      </c>
      <c r="AA3" t="s">
        <v>245</v>
      </c>
      <c r="AD3" t="s">
        <v>263</v>
      </c>
      <c r="AE3" t="s">
        <v>245</v>
      </c>
      <c r="AH3" t="s">
        <v>284</v>
      </c>
      <c r="AI3" t="s">
        <v>263</v>
      </c>
      <c r="AJ3" t="s">
        <v>245</v>
      </c>
      <c r="AK3" t="s">
        <v>245</v>
      </c>
      <c r="AL3" t="s">
        <v>245</v>
      </c>
      <c r="AM3" t="s">
        <v>238</v>
      </c>
      <c r="AN3" t="s">
        <v>329</v>
      </c>
    </row>
    <row r="4" spans="1:49" x14ac:dyDescent="0.2">
      <c r="A4" t="s">
        <v>3</v>
      </c>
      <c r="N4">
        <v>300</v>
      </c>
      <c r="W4" t="s">
        <v>210</v>
      </c>
      <c r="AB4" t="s">
        <v>245</v>
      </c>
      <c r="AC4" t="s">
        <v>245</v>
      </c>
      <c r="AD4" t="s">
        <v>245</v>
      </c>
      <c r="AE4" t="s">
        <v>245</v>
      </c>
      <c r="AF4" t="s">
        <v>239</v>
      </c>
      <c r="AG4" t="s">
        <v>263</v>
      </c>
      <c r="AH4" t="s">
        <v>245</v>
      </c>
      <c r="AI4" t="s">
        <v>245</v>
      </c>
      <c r="AJ4" t="s">
        <v>305</v>
      </c>
      <c r="AK4" t="s">
        <v>245</v>
      </c>
      <c r="AL4" t="s">
        <v>245</v>
      </c>
      <c r="AM4" t="s">
        <v>284</v>
      </c>
      <c r="AN4" t="s">
        <v>330</v>
      </c>
    </row>
    <row r="5" spans="1:49" x14ac:dyDescent="0.2">
      <c r="A5" t="s">
        <v>4</v>
      </c>
      <c r="B5" t="s">
        <v>160</v>
      </c>
      <c r="N5">
        <v>325</v>
      </c>
    </row>
    <row r="6" spans="1:49" x14ac:dyDescent="0.2">
      <c r="A6" t="s">
        <v>5</v>
      </c>
      <c r="B6" t="s">
        <v>161</v>
      </c>
      <c r="N6">
        <v>350</v>
      </c>
    </row>
    <row r="7" spans="1:49" x14ac:dyDescent="0.2">
      <c r="A7" t="s">
        <v>6</v>
      </c>
      <c r="N7">
        <v>375</v>
      </c>
      <c r="X7" t="s">
        <v>228</v>
      </c>
      <c r="Y7" t="s">
        <v>233</v>
      </c>
      <c r="Z7" t="s">
        <v>240</v>
      </c>
      <c r="AA7" t="s">
        <v>246</v>
      </c>
      <c r="AB7" t="s">
        <v>252</v>
      </c>
      <c r="AC7" t="s">
        <v>258</v>
      </c>
      <c r="AI7" t="s">
        <v>296</v>
      </c>
      <c r="AJ7" t="s">
        <v>306</v>
      </c>
      <c r="AK7" t="s">
        <v>311</v>
      </c>
      <c r="AL7" t="s">
        <v>316</v>
      </c>
      <c r="AM7" t="s">
        <v>325</v>
      </c>
      <c r="AN7" t="s">
        <v>331</v>
      </c>
      <c r="AO7" t="s">
        <v>336</v>
      </c>
      <c r="AP7" t="s">
        <v>344</v>
      </c>
      <c r="AQ7" t="s">
        <v>349</v>
      </c>
      <c r="AT7" t="s">
        <v>433</v>
      </c>
      <c r="AU7" t="s">
        <v>438</v>
      </c>
      <c r="AV7" t="s">
        <v>444</v>
      </c>
    </row>
    <row r="8" spans="1:49" x14ac:dyDescent="0.2">
      <c r="A8" t="s">
        <v>7</v>
      </c>
      <c r="N8">
        <v>400</v>
      </c>
      <c r="W8" t="s">
        <v>211</v>
      </c>
      <c r="X8">
        <v>0.8</v>
      </c>
      <c r="Y8">
        <v>0.28000000000000003</v>
      </c>
      <c r="Z8">
        <v>0.2</v>
      </c>
      <c r="AA8">
        <v>0</v>
      </c>
      <c r="AB8">
        <v>0.2</v>
      </c>
      <c r="AC8">
        <v>5.2999999999999999E-2</v>
      </c>
      <c r="AH8" t="s">
        <v>286</v>
      </c>
      <c r="AI8" t="s">
        <v>297</v>
      </c>
      <c r="AJ8">
        <v>5.3</v>
      </c>
      <c r="AK8">
        <v>0.4</v>
      </c>
      <c r="AL8" t="s">
        <v>317</v>
      </c>
      <c r="AM8">
        <v>7.8</v>
      </c>
      <c r="AN8">
        <v>0.3</v>
      </c>
      <c r="AO8" t="s">
        <v>337</v>
      </c>
      <c r="AP8">
        <v>11.5</v>
      </c>
      <c r="AQ8">
        <v>0.7</v>
      </c>
      <c r="AS8" t="s">
        <v>354</v>
      </c>
      <c r="AT8">
        <v>0.6</v>
      </c>
      <c r="AU8">
        <v>1.5</v>
      </c>
      <c r="AV8">
        <v>0.6</v>
      </c>
    </row>
    <row r="9" spans="1:49" x14ac:dyDescent="0.2">
      <c r="A9" t="s">
        <v>8</v>
      </c>
      <c r="B9" t="s">
        <v>162</v>
      </c>
      <c r="N9">
        <v>425</v>
      </c>
      <c r="W9" t="s">
        <v>212</v>
      </c>
      <c r="X9">
        <v>0.71</v>
      </c>
      <c r="Y9">
        <v>0.2</v>
      </c>
      <c r="Z9">
        <v>0.2</v>
      </c>
      <c r="AA9">
        <v>1.2E-2</v>
      </c>
      <c r="AB9">
        <v>0.2</v>
      </c>
      <c r="AC9">
        <v>0.09</v>
      </c>
      <c r="AH9" t="s">
        <v>287</v>
      </c>
      <c r="AI9" t="s">
        <v>298</v>
      </c>
      <c r="AJ9">
        <v>2.4</v>
      </c>
      <c r="AK9">
        <v>0.2</v>
      </c>
      <c r="AL9" t="s">
        <v>318</v>
      </c>
      <c r="AM9">
        <v>8.4</v>
      </c>
      <c r="AN9">
        <v>0.6</v>
      </c>
      <c r="AO9" t="s">
        <v>338</v>
      </c>
      <c r="AP9">
        <v>7.5</v>
      </c>
      <c r="AQ9">
        <v>0.5</v>
      </c>
    </row>
    <row r="10" spans="1:49" x14ac:dyDescent="0.2">
      <c r="A10" t="s">
        <v>9</v>
      </c>
      <c r="B10">
        <v>0.8</v>
      </c>
      <c r="N10">
        <v>450</v>
      </c>
      <c r="W10" t="s">
        <v>213</v>
      </c>
      <c r="X10">
        <v>3.91</v>
      </c>
      <c r="Y10">
        <v>1.82</v>
      </c>
      <c r="Z10">
        <v>0.5</v>
      </c>
      <c r="AA10">
        <v>7.5999999999999998E-2</v>
      </c>
      <c r="AB10">
        <v>0.5</v>
      </c>
      <c r="AC10">
        <v>0.5</v>
      </c>
      <c r="AH10" t="s">
        <v>288</v>
      </c>
      <c r="AI10" t="s">
        <v>299</v>
      </c>
      <c r="AJ10">
        <v>4.3</v>
      </c>
      <c r="AK10">
        <v>2.7</v>
      </c>
      <c r="AL10" t="s">
        <v>319</v>
      </c>
      <c r="AM10">
        <v>21.6</v>
      </c>
      <c r="AN10">
        <v>0.6</v>
      </c>
      <c r="AO10" t="s">
        <v>339</v>
      </c>
      <c r="AP10">
        <v>9.8000000000000007</v>
      </c>
      <c r="AQ10">
        <v>1.5</v>
      </c>
    </row>
    <row r="11" spans="1:49" x14ac:dyDescent="0.2">
      <c r="A11" t="s">
        <v>10</v>
      </c>
      <c r="B11">
        <v>0.71</v>
      </c>
      <c r="N11">
        <v>475</v>
      </c>
    </row>
    <row r="12" spans="1:49" x14ac:dyDescent="0.2">
      <c r="A12" t="s">
        <v>11</v>
      </c>
      <c r="B12">
        <v>3.91</v>
      </c>
      <c r="N12">
        <v>500</v>
      </c>
    </row>
    <row r="13" spans="1:49" x14ac:dyDescent="0.2">
      <c r="A13" t="s">
        <v>12</v>
      </c>
      <c r="N13">
        <v>525</v>
      </c>
    </row>
    <row r="14" spans="1:49" x14ac:dyDescent="0.2">
      <c r="A14" t="s">
        <v>13</v>
      </c>
      <c r="B14" t="s">
        <v>163</v>
      </c>
      <c r="N14">
        <v>550</v>
      </c>
    </row>
    <row r="15" spans="1:49" x14ac:dyDescent="0.2">
      <c r="A15" t="s">
        <v>14</v>
      </c>
      <c r="N15">
        <v>575</v>
      </c>
    </row>
    <row r="16" spans="1:49" x14ac:dyDescent="0.2">
      <c r="A16" t="s">
        <v>15</v>
      </c>
      <c r="N16">
        <v>600</v>
      </c>
    </row>
    <row r="17" spans="1:64" x14ac:dyDescent="0.2">
      <c r="A17" t="s">
        <v>16</v>
      </c>
      <c r="B17" t="s">
        <v>164</v>
      </c>
      <c r="N17">
        <v>625</v>
      </c>
    </row>
    <row r="18" spans="1:64" x14ac:dyDescent="0.2">
      <c r="A18" t="s">
        <v>17</v>
      </c>
      <c r="B18" t="s">
        <v>165</v>
      </c>
      <c r="N18">
        <v>650</v>
      </c>
    </row>
    <row r="19" spans="1:64" x14ac:dyDescent="0.2">
      <c r="B19" t="s">
        <v>166</v>
      </c>
    </row>
    <row r="21" spans="1:64" x14ac:dyDescent="0.2">
      <c r="A21" t="s">
        <v>18</v>
      </c>
      <c r="C21" t="s">
        <v>169</v>
      </c>
      <c r="L21" t="s">
        <v>188</v>
      </c>
      <c r="W21" t="s">
        <v>214</v>
      </c>
      <c r="Y21" t="s">
        <v>169</v>
      </c>
      <c r="AH21" t="s">
        <v>188</v>
      </c>
      <c r="AS21" t="s">
        <v>355</v>
      </c>
      <c r="AU21" t="s">
        <v>169</v>
      </c>
      <c r="BD21" t="s">
        <v>188</v>
      </c>
    </row>
    <row r="23" spans="1:64" x14ac:dyDescent="0.2">
      <c r="A23" t="s">
        <v>19</v>
      </c>
      <c r="B23" t="s">
        <v>167</v>
      </c>
      <c r="C23" t="s">
        <v>170</v>
      </c>
      <c r="D23" t="s">
        <v>172</v>
      </c>
      <c r="E23" t="s">
        <v>174</v>
      </c>
      <c r="F23" t="s">
        <v>176</v>
      </c>
      <c r="G23" t="s">
        <v>175</v>
      </c>
      <c r="H23" t="s">
        <v>176</v>
      </c>
      <c r="I23" t="s">
        <v>174</v>
      </c>
      <c r="J23" t="s">
        <v>176</v>
      </c>
      <c r="K23" t="s">
        <v>186</v>
      </c>
      <c r="L23" t="s">
        <v>174</v>
      </c>
      <c r="M23" t="s">
        <v>176</v>
      </c>
      <c r="N23" t="s">
        <v>175</v>
      </c>
      <c r="O23" t="s">
        <v>176</v>
      </c>
      <c r="P23" t="s">
        <v>174</v>
      </c>
      <c r="Q23" t="s">
        <v>176</v>
      </c>
      <c r="R23" t="s">
        <v>201</v>
      </c>
      <c r="S23" t="s">
        <v>176</v>
      </c>
      <c r="T23" t="s">
        <v>205</v>
      </c>
      <c r="W23" t="s">
        <v>19</v>
      </c>
      <c r="X23" t="s">
        <v>167</v>
      </c>
      <c r="Y23" t="s">
        <v>170</v>
      </c>
      <c r="Z23" t="s">
        <v>172</v>
      </c>
      <c r="AA23" t="s">
        <v>174</v>
      </c>
      <c r="AB23" t="s">
        <v>176</v>
      </c>
      <c r="AC23" t="s">
        <v>175</v>
      </c>
      <c r="AD23" t="s">
        <v>176</v>
      </c>
      <c r="AE23" t="s">
        <v>174</v>
      </c>
      <c r="AF23" t="s">
        <v>176</v>
      </c>
      <c r="AG23" t="s">
        <v>186</v>
      </c>
      <c r="AH23" t="s">
        <v>174</v>
      </c>
      <c r="AI23" t="s">
        <v>176</v>
      </c>
      <c r="AJ23" t="s">
        <v>175</v>
      </c>
      <c r="AK23" t="s">
        <v>176</v>
      </c>
      <c r="AL23" t="s">
        <v>174</v>
      </c>
      <c r="AM23" t="s">
        <v>176</v>
      </c>
      <c r="AN23" t="s">
        <v>201</v>
      </c>
      <c r="AO23" t="s">
        <v>176</v>
      </c>
      <c r="AP23" t="s">
        <v>205</v>
      </c>
      <c r="AS23" t="s">
        <v>19</v>
      </c>
      <c r="AT23" t="s">
        <v>167</v>
      </c>
      <c r="AU23" t="s">
        <v>170</v>
      </c>
      <c r="AV23" t="s">
        <v>172</v>
      </c>
      <c r="AW23" t="s">
        <v>174</v>
      </c>
      <c r="AX23" t="s">
        <v>176</v>
      </c>
      <c r="AY23" t="s">
        <v>175</v>
      </c>
      <c r="AZ23" t="s">
        <v>176</v>
      </c>
      <c r="BA23" t="s">
        <v>174</v>
      </c>
      <c r="BB23" t="s">
        <v>176</v>
      </c>
      <c r="BC23" t="s">
        <v>186</v>
      </c>
      <c r="BD23" t="s">
        <v>174</v>
      </c>
      <c r="BE23" t="s">
        <v>176</v>
      </c>
      <c r="BF23" t="s">
        <v>175</v>
      </c>
      <c r="BG23" t="s">
        <v>176</v>
      </c>
      <c r="BH23" t="s">
        <v>174</v>
      </c>
      <c r="BI23" t="s">
        <v>176</v>
      </c>
      <c r="BJ23" t="s">
        <v>201</v>
      </c>
      <c r="BK23" t="s">
        <v>176</v>
      </c>
      <c r="BL23" t="s">
        <v>205</v>
      </c>
    </row>
    <row r="24" spans="1:64" x14ac:dyDescent="0.2">
      <c r="B24" t="s">
        <v>168</v>
      </c>
      <c r="C24" t="s">
        <v>171</v>
      </c>
      <c r="D24" t="s">
        <v>173</v>
      </c>
      <c r="E24" t="s">
        <v>175</v>
      </c>
      <c r="F24" t="s">
        <v>177</v>
      </c>
      <c r="G24" t="s">
        <v>179</v>
      </c>
      <c r="H24" t="s">
        <v>177</v>
      </c>
      <c r="I24" t="s">
        <v>183</v>
      </c>
      <c r="J24" t="s">
        <v>177</v>
      </c>
      <c r="K24" t="s">
        <v>187</v>
      </c>
      <c r="L24" t="s">
        <v>183</v>
      </c>
      <c r="M24" t="s">
        <v>192</v>
      </c>
      <c r="N24" t="s">
        <v>179</v>
      </c>
      <c r="O24" t="s">
        <v>192</v>
      </c>
      <c r="P24" t="s">
        <v>175</v>
      </c>
      <c r="Q24" t="s">
        <v>192</v>
      </c>
      <c r="R24" t="s">
        <v>192</v>
      </c>
      <c r="S24" t="s">
        <v>192</v>
      </c>
      <c r="T24" t="s">
        <v>177</v>
      </c>
      <c r="X24" t="s">
        <v>168</v>
      </c>
      <c r="Y24" t="s">
        <v>171</v>
      </c>
      <c r="Z24" t="s">
        <v>173</v>
      </c>
      <c r="AA24" t="s">
        <v>175</v>
      </c>
      <c r="AB24" t="s">
        <v>177</v>
      </c>
      <c r="AC24" t="s">
        <v>179</v>
      </c>
      <c r="AD24" t="s">
        <v>177</v>
      </c>
      <c r="AE24" t="s">
        <v>183</v>
      </c>
      <c r="AF24" t="s">
        <v>177</v>
      </c>
      <c r="AG24" t="s">
        <v>187</v>
      </c>
      <c r="AH24" t="s">
        <v>183</v>
      </c>
      <c r="AI24" t="s">
        <v>192</v>
      </c>
      <c r="AJ24" t="s">
        <v>179</v>
      </c>
      <c r="AK24" t="s">
        <v>192</v>
      </c>
      <c r="AL24" t="s">
        <v>175</v>
      </c>
      <c r="AM24" t="s">
        <v>192</v>
      </c>
      <c r="AN24" t="s">
        <v>192</v>
      </c>
      <c r="AO24" t="s">
        <v>192</v>
      </c>
      <c r="AP24" t="s">
        <v>177</v>
      </c>
      <c r="AT24" t="s">
        <v>168</v>
      </c>
      <c r="AU24" t="s">
        <v>171</v>
      </c>
      <c r="AV24" t="s">
        <v>173</v>
      </c>
      <c r="AW24" t="s">
        <v>175</v>
      </c>
      <c r="AX24" t="s">
        <v>177</v>
      </c>
      <c r="AY24" t="s">
        <v>179</v>
      </c>
      <c r="AZ24" t="s">
        <v>177</v>
      </c>
      <c r="BA24" t="s">
        <v>183</v>
      </c>
      <c r="BB24" t="s">
        <v>177</v>
      </c>
      <c r="BC24" t="s">
        <v>187</v>
      </c>
      <c r="BD24" t="s">
        <v>183</v>
      </c>
      <c r="BE24" t="s">
        <v>192</v>
      </c>
      <c r="BF24" t="s">
        <v>179</v>
      </c>
      <c r="BG24" t="s">
        <v>192</v>
      </c>
      <c r="BH24" t="s">
        <v>175</v>
      </c>
      <c r="BI24" t="s">
        <v>192</v>
      </c>
      <c r="BJ24" t="s">
        <v>192</v>
      </c>
      <c r="BK24" t="s">
        <v>192</v>
      </c>
      <c r="BL24" t="s">
        <v>177</v>
      </c>
    </row>
    <row r="27" spans="1:64" s="1" customFormat="1" x14ac:dyDescent="0.2">
      <c r="A27" s="1" t="s">
        <v>37</v>
      </c>
      <c r="B27" s="1">
        <v>137</v>
      </c>
      <c r="C27" s="1">
        <v>1000</v>
      </c>
      <c r="D27" s="1">
        <v>1.1000000000000001</v>
      </c>
      <c r="E27" s="1">
        <v>25.7317</v>
      </c>
      <c r="F27" s="1">
        <v>58</v>
      </c>
      <c r="G27" s="1">
        <v>0.21754000000000001</v>
      </c>
      <c r="H27" s="1">
        <v>58.1</v>
      </c>
      <c r="I27" s="1">
        <v>4.0615999999999999E-2</v>
      </c>
      <c r="J27" s="1">
        <v>4.5</v>
      </c>
      <c r="K27" s="1">
        <v>7.6999999999999999E-2</v>
      </c>
      <c r="L27" s="1">
        <v>256.60000000000002</v>
      </c>
      <c r="M27" s="1">
        <v>11.2</v>
      </c>
      <c r="N27" s="1">
        <v>199.9</v>
      </c>
      <c r="O27" s="1">
        <v>105.6</v>
      </c>
      <c r="P27" s="1">
        <v>427.2</v>
      </c>
      <c r="Q27" s="1">
        <v>1547</v>
      </c>
      <c r="R27" s="1">
        <v>256.60000000000002</v>
      </c>
      <c r="S27" s="1">
        <v>11.2</v>
      </c>
      <c r="T27" s="1">
        <v>60.1</v>
      </c>
      <c r="AS27" s="1" t="s">
        <v>374</v>
      </c>
      <c r="AT27" s="1">
        <v>819</v>
      </c>
      <c r="AU27" s="1">
        <v>80186</v>
      </c>
      <c r="AV27" s="1">
        <v>1.33</v>
      </c>
      <c r="AW27" s="1">
        <v>13.1427</v>
      </c>
      <c r="AX27" s="1">
        <v>2.2000000000000002</v>
      </c>
      <c r="AY27" s="1">
        <v>1.9307300000000001</v>
      </c>
      <c r="AZ27" s="1">
        <v>3.3</v>
      </c>
      <c r="BA27" s="1">
        <v>0.18412000000000001</v>
      </c>
      <c r="BB27" s="1">
        <v>2.6</v>
      </c>
      <c r="BC27" s="1">
        <v>0.76500000000000001</v>
      </c>
      <c r="BD27" s="1">
        <v>1089.4000000000001</v>
      </c>
      <c r="BE27" s="1">
        <v>25.6</v>
      </c>
      <c r="BF27" s="1">
        <v>1091.8</v>
      </c>
      <c r="BG27" s="1">
        <v>22.4</v>
      </c>
      <c r="BH27" s="1">
        <v>1096.5</v>
      </c>
      <c r="BI27" s="1">
        <v>43.1</v>
      </c>
      <c r="BJ27" s="1">
        <v>1096.5</v>
      </c>
      <c r="BK27" s="1">
        <v>43.1</v>
      </c>
      <c r="BL27" s="1">
        <v>99.4</v>
      </c>
    </row>
    <row r="28" spans="1:64" s="1" customFormat="1" x14ac:dyDescent="0.2">
      <c r="A28" s="1" t="s">
        <v>58</v>
      </c>
      <c r="B28" s="1">
        <v>68</v>
      </c>
      <c r="C28" s="1">
        <v>1000</v>
      </c>
      <c r="D28" s="1">
        <v>1.29</v>
      </c>
      <c r="E28" s="1">
        <v>26.086300000000001</v>
      </c>
      <c r="F28" s="1">
        <v>50.6</v>
      </c>
      <c r="G28" s="1">
        <v>0.22256000000000001</v>
      </c>
      <c r="H28" s="1">
        <v>51</v>
      </c>
      <c r="I28" s="1">
        <v>4.2125000000000003E-2</v>
      </c>
      <c r="J28" s="1">
        <v>6.8</v>
      </c>
      <c r="K28" s="1">
        <v>0.13300000000000001</v>
      </c>
      <c r="L28" s="1">
        <v>266</v>
      </c>
      <c r="M28" s="1">
        <v>17.7</v>
      </c>
      <c r="N28" s="1">
        <v>204</v>
      </c>
      <c r="O28" s="1">
        <v>94.4</v>
      </c>
      <c r="P28" s="1">
        <v>463.2</v>
      </c>
      <c r="Q28" s="1">
        <v>1353.8</v>
      </c>
      <c r="R28" s="1">
        <v>266</v>
      </c>
      <c r="S28" s="1">
        <v>17.7</v>
      </c>
      <c r="T28" s="1">
        <v>57.4</v>
      </c>
      <c r="AS28" s="1" t="s">
        <v>395</v>
      </c>
      <c r="AT28" s="1">
        <v>218</v>
      </c>
      <c r="AU28" s="1">
        <v>47576</v>
      </c>
      <c r="AV28" s="1">
        <v>1.74</v>
      </c>
      <c r="AW28" s="1">
        <v>12.9617</v>
      </c>
      <c r="AX28" s="1">
        <v>3</v>
      </c>
      <c r="AY28" s="1">
        <v>1.9942899999999999</v>
      </c>
      <c r="AZ28" s="1">
        <v>4.3</v>
      </c>
      <c r="BA28" s="1">
        <v>0.18756200000000001</v>
      </c>
      <c r="BB28" s="1">
        <v>3.1</v>
      </c>
      <c r="BC28" s="1">
        <v>0.71899999999999997</v>
      </c>
      <c r="BD28" s="1">
        <v>1108.2</v>
      </c>
      <c r="BE28" s="1">
        <v>31.7</v>
      </c>
      <c r="BF28" s="1">
        <v>1113.5999999999999</v>
      </c>
      <c r="BG28" s="1">
        <v>29.3</v>
      </c>
      <c r="BH28" s="1">
        <v>1124.2</v>
      </c>
      <c r="BI28" s="1">
        <v>60</v>
      </c>
      <c r="BJ28" s="1">
        <v>1124.2</v>
      </c>
      <c r="BK28" s="1">
        <v>60</v>
      </c>
      <c r="BL28" s="1">
        <v>98.6</v>
      </c>
    </row>
    <row r="29" spans="1:64" s="1" customFormat="1" x14ac:dyDescent="0.2">
      <c r="A29" s="1" t="s">
        <v>60</v>
      </c>
      <c r="B29" s="1">
        <v>182</v>
      </c>
      <c r="C29" s="1">
        <v>1000</v>
      </c>
      <c r="D29" s="1">
        <v>0.96</v>
      </c>
      <c r="E29" s="1">
        <v>26.620899999999999</v>
      </c>
      <c r="F29" s="1">
        <v>59.9</v>
      </c>
      <c r="G29" s="1">
        <v>0.21822</v>
      </c>
      <c r="H29" s="1">
        <v>60.1</v>
      </c>
      <c r="I29" s="1">
        <v>4.2151000000000001E-2</v>
      </c>
      <c r="J29" s="1">
        <v>4.4000000000000004</v>
      </c>
      <c r="K29" s="1">
        <v>7.2999999999999995E-2</v>
      </c>
      <c r="L29" s="1">
        <v>266.2</v>
      </c>
      <c r="M29" s="1">
        <v>11.4</v>
      </c>
      <c r="N29" s="1">
        <v>200.4</v>
      </c>
      <c r="O29" s="1">
        <v>109.4</v>
      </c>
      <c r="P29" s="1">
        <v>517.1</v>
      </c>
      <c r="Q29" s="1">
        <v>1630.3</v>
      </c>
      <c r="R29" s="1">
        <v>266.2</v>
      </c>
      <c r="S29" s="1">
        <v>11.4</v>
      </c>
      <c r="T29" s="1">
        <v>51.5</v>
      </c>
      <c r="AS29" s="1" t="s">
        <v>397</v>
      </c>
      <c r="AT29" s="1">
        <v>664</v>
      </c>
      <c r="AU29" s="1">
        <v>133238</v>
      </c>
      <c r="AV29" s="1">
        <v>13.53</v>
      </c>
      <c r="AW29" s="1">
        <v>13.1791</v>
      </c>
      <c r="AX29" s="1">
        <v>1.9</v>
      </c>
      <c r="AY29" s="1">
        <v>1.9192</v>
      </c>
      <c r="AZ29" s="1">
        <v>3.5</v>
      </c>
      <c r="BA29" s="1">
        <v>0.183527</v>
      </c>
      <c r="BB29" s="1">
        <v>3</v>
      </c>
      <c r="BC29" s="1">
        <v>0.84099999999999997</v>
      </c>
      <c r="BD29" s="1">
        <v>1086.2</v>
      </c>
      <c r="BE29" s="1">
        <v>29.5</v>
      </c>
      <c r="BF29" s="1">
        <v>1087.8</v>
      </c>
      <c r="BG29" s="1">
        <v>23.4</v>
      </c>
      <c r="BH29" s="1">
        <v>1090.9000000000001</v>
      </c>
      <c r="BI29" s="1">
        <v>38</v>
      </c>
      <c r="BJ29" s="1">
        <v>1090.9000000000001</v>
      </c>
      <c r="BK29" s="1">
        <v>38</v>
      </c>
      <c r="BL29" s="1">
        <v>99.6</v>
      </c>
    </row>
    <row r="30" spans="1:64" s="1" customFormat="1" x14ac:dyDescent="0.2">
      <c r="A30" s="1" t="s">
        <v>24</v>
      </c>
      <c r="B30" s="1">
        <v>226</v>
      </c>
      <c r="C30" s="1">
        <v>4365</v>
      </c>
      <c r="D30" s="1">
        <v>0.97</v>
      </c>
      <c r="E30" s="1">
        <v>20.053599999999999</v>
      </c>
      <c r="F30" s="1">
        <v>12</v>
      </c>
      <c r="G30" s="1">
        <v>0.29413</v>
      </c>
      <c r="H30" s="1">
        <v>12.5</v>
      </c>
      <c r="I30" s="1">
        <v>4.2798999999999997E-2</v>
      </c>
      <c r="J30" s="1">
        <v>3.7</v>
      </c>
      <c r="K30" s="1">
        <v>0.29599999999999999</v>
      </c>
      <c r="L30" s="1">
        <v>270.2</v>
      </c>
      <c r="M30" s="1">
        <v>9.8000000000000007</v>
      </c>
      <c r="N30" s="1">
        <v>261.8</v>
      </c>
      <c r="O30" s="1">
        <v>28.9</v>
      </c>
      <c r="P30" s="1">
        <v>187.7</v>
      </c>
      <c r="Q30" s="1">
        <v>278.5</v>
      </c>
      <c r="R30" s="1">
        <v>270.2</v>
      </c>
      <c r="S30" s="1">
        <v>9.8000000000000007</v>
      </c>
      <c r="T30" s="1">
        <v>144</v>
      </c>
      <c r="W30" s="1" t="s">
        <v>220</v>
      </c>
      <c r="X30" s="1">
        <v>1192</v>
      </c>
      <c r="Y30" s="1">
        <v>1000</v>
      </c>
      <c r="Z30" s="1">
        <v>1.04</v>
      </c>
      <c r="AA30" s="1">
        <v>7.2271999999999998</v>
      </c>
      <c r="AB30" s="1">
        <v>51.9</v>
      </c>
      <c r="AC30" s="1">
        <v>1.12263</v>
      </c>
      <c r="AD30" s="1">
        <v>53.8</v>
      </c>
      <c r="AE30" s="1">
        <v>5.8871E-2</v>
      </c>
      <c r="AF30" s="1">
        <v>14.4</v>
      </c>
      <c r="AG30" s="1">
        <v>0.26800000000000002</v>
      </c>
      <c r="AH30" s="1">
        <v>368.8</v>
      </c>
      <c r="AI30" s="1">
        <v>51.8</v>
      </c>
      <c r="AJ30" s="1">
        <v>764.2</v>
      </c>
      <c r="AK30" s="1">
        <v>291</v>
      </c>
      <c r="AL30" s="1">
        <v>2206.1</v>
      </c>
      <c r="AM30" s="1">
        <v>916.8</v>
      </c>
      <c r="AN30" s="1">
        <v>368.8</v>
      </c>
      <c r="AO30" s="1">
        <v>51.8</v>
      </c>
      <c r="AP30" s="1">
        <v>16.7</v>
      </c>
      <c r="AS30" s="1" t="s">
        <v>361</v>
      </c>
      <c r="AT30" s="1">
        <v>1297</v>
      </c>
      <c r="AU30" s="1">
        <v>71173</v>
      </c>
      <c r="AV30" s="1">
        <v>5.36</v>
      </c>
      <c r="AW30" s="1">
        <v>17.1221</v>
      </c>
      <c r="AX30" s="1">
        <v>2</v>
      </c>
      <c r="AY30" s="1">
        <v>0.72863999999999995</v>
      </c>
      <c r="AZ30" s="1">
        <v>3.3</v>
      </c>
      <c r="BA30" s="1">
        <v>9.0523999999999993E-2</v>
      </c>
      <c r="BB30" s="1">
        <v>2.6</v>
      </c>
      <c r="BC30" s="1">
        <v>0.78900000000000003</v>
      </c>
      <c r="BD30" s="1">
        <v>558.6</v>
      </c>
      <c r="BE30" s="1">
        <v>13.7</v>
      </c>
      <c r="BF30" s="1">
        <v>555.79999999999995</v>
      </c>
      <c r="BG30" s="1">
        <v>13.9</v>
      </c>
      <c r="BH30" s="1">
        <v>544</v>
      </c>
      <c r="BI30" s="1">
        <v>43.8</v>
      </c>
      <c r="BJ30" s="1">
        <v>558.6</v>
      </c>
      <c r="BK30" s="1">
        <v>13.7</v>
      </c>
      <c r="BL30" s="1">
        <v>102.7</v>
      </c>
    </row>
    <row r="31" spans="1:64" s="1" customFormat="1" x14ac:dyDescent="0.2">
      <c r="A31" s="1" t="s">
        <v>35</v>
      </c>
      <c r="B31" s="1">
        <v>9588</v>
      </c>
      <c r="C31" s="1">
        <v>21828</v>
      </c>
      <c r="D31" s="1">
        <v>16.04</v>
      </c>
      <c r="E31" s="1">
        <v>17.1874</v>
      </c>
      <c r="F31" s="1">
        <v>4.2</v>
      </c>
      <c r="G31" s="1">
        <v>0.34355999999999998</v>
      </c>
      <c r="H31" s="1">
        <v>4.8</v>
      </c>
      <c r="I31" s="1">
        <v>4.2846000000000002E-2</v>
      </c>
      <c r="J31" s="1">
        <v>2.5</v>
      </c>
      <c r="K31" s="1">
        <v>0.51200000000000001</v>
      </c>
      <c r="L31" s="1">
        <v>270.5</v>
      </c>
      <c r="M31" s="1">
        <v>6.6</v>
      </c>
      <c r="N31" s="1">
        <v>299.89999999999998</v>
      </c>
      <c r="O31" s="1">
        <v>12.6</v>
      </c>
      <c r="P31" s="1">
        <v>535.70000000000005</v>
      </c>
      <c r="Q31" s="1">
        <v>90.9</v>
      </c>
      <c r="R31" s="1">
        <v>270.5</v>
      </c>
      <c r="S31" s="1">
        <v>6.6</v>
      </c>
      <c r="T31" s="1">
        <v>50.5</v>
      </c>
      <c r="AS31" s="1" t="s">
        <v>372</v>
      </c>
      <c r="AT31" s="1">
        <v>1329</v>
      </c>
      <c r="AU31" s="1">
        <v>19432</v>
      </c>
      <c r="AV31" s="1">
        <v>5.27</v>
      </c>
      <c r="AW31" s="1">
        <v>17.132300000000001</v>
      </c>
      <c r="AX31" s="1">
        <v>2.5</v>
      </c>
      <c r="AY31" s="1">
        <v>0.71630000000000005</v>
      </c>
      <c r="AZ31" s="1">
        <v>3.5</v>
      </c>
      <c r="BA31" s="1">
        <v>8.9043999999999998E-2</v>
      </c>
      <c r="BB31" s="1">
        <v>2.4</v>
      </c>
      <c r="BC31" s="1">
        <v>0.69399999999999995</v>
      </c>
      <c r="BD31" s="1">
        <v>549.9</v>
      </c>
      <c r="BE31" s="1">
        <v>12.9</v>
      </c>
      <c r="BF31" s="1">
        <v>548.5</v>
      </c>
      <c r="BG31" s="1">
        <v>14.9</v>
      </c>
      <c r="BH31" s="1">
        <v>542.70000000000005</v>
      </c>
      <c r="BI31" s="1">
        <v>55.4</v>
      </c>
      <c r="BJ31" s="1">
        <v>549.9</v>
      </c>
      <c r="BK31" s="1">
        <v>12.9</v>
      </c>
      <c r="BL31" s="1">
        <v>101.3</v>
      </c>
    </row>
    <row r="32" spans="1:64" s="1" customFormat="1" x14ac:dyDescent="0.2">
      <c r="A32" s="1" t="s">
        <v>49</v>
      </c>
      <c r="B32" s="1">
        <v>258</v>
      </c>
      <c r="C32" s="1">
        <v>22020</v>
      </c>
      <c r="D32" s="1">
        <v>0.72</v>
      </c>
      <c r="E32" s="1">
        <v>18.773399999999999</v>
      </c>
      <c r="F32" s="1">
        <v>5.0999999999999996</v>
      </c>
      <c r="G32" s="1">
        <v>0.31738</v>
      </c>
      <c r="H32" s="1">
        <v>6.7</v>
      </c>
      <c r="I32" s="1">
        <v>4.3234000000000002E-2</v>
      </c>
      <c r="J32" s="1">
        <v>4.3</v>
      </c>
      <c r="K32" s="1">
        <v>0.64400000000000002</v>
      </c>
      <c r="L32" s="1">
        <v>272.8</v>
      </c>
      <c r="M32" s="1">
        <v>11.5</v>
      </c>
      <c r="N32" s="1">
        <v>279.89999999999998</v>
      </c>
      <c r="O32" s="1">
        <v>16.3</v>
      </c>
      <c r="P32" s="1">
        <v>339.2</v>
      </c>
      <c r="Q32" s="1">
        <v>115.5</v>
      </c>
      <c r="R32" s="1">
        <v>272.8</v>
      </c>
      <c r="S32" s="1">
        <v>11.5</v>
      </c>
      <c r="T32" s="1">
        <v>80.400000000000006</v>
      </c>
      <c r="AS32" s="1" t="s">
        <v>386</v>
      </c>
      <c r="AT32" s="1">
        <v>274</v>
      </c>
      <c r="AU32" s="1">
        <v>16322</v>
      </c>
      <c r="AV32" s="1">
        <v>1.44</v>
      </c>
      <c r="AW32" s="1">
        <v>13.1562</v>
      </c>
      <c r="AX32" s="1">
        <v>3.1</v>
      </c>
      <c r="AY32" s="1">
        <v>1.92909</v>
      </c>
      <c r="AZ32" s="1">
        <v>5.6</v>
      </c>
      <c r="BA32" s="1">
        <v>0.18415300000000001</v>
      </c>
      <c r="BB32" s="1">
        <v>4.7</v>
      </c>
      <c r="BC32" s="1">
        <v>0.83399999999999996</v>
      </c>
      <c r="BD32" s="1">
        <v>1089.5999999999999</v>
      </c>
      <c r="BE32" s="1">
        <v>46.9</v>
      </c>
      <c r="BF32" s="1">
        <v>1091.2</v>
      </c>
      <c r="BG32" s="1">
        <v>37.5</v>
      </c>
      <c r="BH32" s="1">
        <v>1094.4000000000001</v>
      </c>
      <c r="BI32" s="1">
        <v>61.9</v>
      </c>
      <c r="BJ32" s="1">
        <v>1094.4000000000001</v>
      </c>
      <c r="BK32" s="1">
        <v>61.9</v>
      </c>
      <c r="BL32" s="1">
        <v>99.6</v>
      </c>
    </row>
    <row r="33" spans="1:64" s="1" customFormat="1" x14ac:dyDescent="0.2">
      <c r="A33" s="1" t="s">
        <v>46</v>
      </c>
      <c r="B33" s="1">
        <v>1581</v>
      </c>
      <c r="C33" s="1">
        <v>73077</v>
      </c>
      <c r="D33" s="1">
        <v>16.72</v>
      </c>
      <c r="E33" s="1">
        <v>19.094899999999999</v>
      </c>
      <c r="F33" s="1">
        <v>3</v>
      </c>
      <c r="G33" s="1">
        <v>0.31594</v>
      </c>
      <c r="H33" s="1">
        <v>3.8</v>
      </c>
      <c r="I33" s="1">
        <v>4.3774E-2</v>
      </c>
      <c r="J33" s="1">
        <v>2.4</v>
      </c>
      <c r="K33" s="1">
        <v>0.621</v>
      </c>
      <c r="L33" s="1">
        <v>276.2</v>
      </c>
      <c r="M33" s="1">
        <v>6.4</v>
      </c>
      <c r="N33" s="1">
        <v>278.8</v>
      </c>
      <c r="O33" s="1">
        <v>9.3000000000000007</v>
      </c>
      <c r="P33" s="1">
        <v>300.60000000000002</v>
      </c>
      <c r="Q33" s="1">
        <v>68.5</v>
      </c>
      <c r="R33" s="1">
        <v>276.2</v>
      </c>
      <c r="S33" s="1">
        <v>6.4</v>
      </c>
      <c r="T33" s="1">
        <v>91.9</v>
      </c>
      <c r="AS33" s="1" t="s">
        <v>383</v>
      </c>
      <c r="AT33" s="1">
        <v>1314</v>
      </c>
      <c r="AU33" s="1">
        <v>22350</v>
      </c>
      <c r="AV33" s="1">
        <v>5.21</v>
      </c>
      <c r="AW33" s="1">
        <v>17.048500000000001</v>
      </c>
      <c r="AX33" s="1">
        <v>2.1</v>
      </c>
      <c r="AY33" s="1">
        <v>0.72668999999999995</v>
      </c>
      <c r="AZ33" s="1">
        <v>2.8</v>
      </c>
      <c r="BA33" s="1">
        <v>8.9893000000000001E-2</v>
      </c>
      <c r="BB33" s="1">
        <v>2</v>
      </c>
      <c r="BC33" s="1">
        <v>0.69</v>
      </c>
      <c r="BD33" s="1">
        <v>554.9</v>
      </c>
      <c r="BE33" s="1">
        <v>10.4</v>
      </c>
      <c r="BF33" s="1">
        <v>554.6</v>
      </c>
      <c r="BG33" s="1">
        <v>12.1</v>
      </c>
      <c r="BH33" s="1">
        <v>553.4</v>
      </c>
      <c r="BI33" s="1">
        <v>44.7</v>
      </c>
      <c r="BJ33" s="1">
        <v>554.9</v>
      </c>
      <c r="BK33" s="1">
        <v>10.4</v>
      </c>
      <c r="BL33" s="1">
        <v>100.3</v>
      </c>
    </row>
    <row r="34" spans="1:64" s="1" customFormat="1" x14ac:dyDescent="0.2">
      <c r="A34" s="1" t="s">
        <v>40</v>
      </c>
      <c r="B34" s="1">
        <v>1372</v>
      </c>
      <c r="C34" s="1">
        <v>48941</v>
      </c>
      <c r="D34" s="1">
        <v>42.45</v>
      </c>
      <c r="E34" s="1">
        <v>16.014800000000001</v>
      </c>
      <c r="F34" s="1">
        <v>12</v>
      </c>
      <c r="G34" s="1">
        <v>0.38264999999999999</v>
      </c>
      <c r="H34" s="1">
        <v>12.4</v>
      </c>
      <c r="I34" s="1">
        <v>4.4464999999999998E-2</v>
      </c>
      <c r="J34" s="1">
        <v>3.1</v>
      </c>
      <c r="K34" s="1">
        <v>0.249</v>
      </c>
      <c r="L34" s="1">
        <v>280.39999999999998</v>
      </c>
      <c r="M34" s="1">
        <v>8.5</v>
      </c>
      <c r="N34" s="1">
        <v>329</v>
      </c>
      <c r="O34" s="1">
        <v>34.799999999999997</v>
      </c>
      <c r="P34" s="1">
        <v>688.3</v>
      </c>
      <c r="Q34" s="1">
        <v>256.2</v>
      </c>
      <c r="R34" s="1">
        <v>280.39999999999998</v>
      </c>
      <c r="S34" s="1">
        <v>8.5</v>
      </c>
      <c r="T34" s="1">
        <v>40.700000000000003</v>
      </c>
      <c r="AS34" s="1" t="s">
        <v>377</v>
      </c>
      <c r="AT34" s="1">
        <v>815</v>
      </c>
      <c r="AU34" s="1">
        <v>70317</v>
      </c>
      <c r="AV34" s="1">
        <v>1.42</v>
      </c>
      <c r="AW34" s="1">
        <v>13.123100000000001</v>
      </c>
      <c r="AX34" s="1">
        <v>2.2000000000000002</v>
      </c>
      <c r="AY34" s="1">
        <v>1.93845</v>
      </c>
      <c r="AZ34" s="1">
        <v>3.8</v>
      </c>
      <c r="BA34" s="1">
        <v>0.184581</v>
      </c>
      <c r="BB34" s="1">
        <v>3</v>
      </c>
      <c r="BC34" s="1">
        <v>0.80400000000000005</v>
      </c>
      <c r="BD34" s="1">
        <v>1091.9000000000001</v>
      </c>
      <c r="BE34" s="1">
        <v>30.4</v>
      </c>
      <c r="BF34" s="1">
        <v>1094.5</v>
      </c>
      <c r="BG34" s="1">
        <v>25.2</v>
      </c>
      <c r="BH34" s="1">
        <v>1099.5</v>
      </c>
      <c r="BI34" s="1">
        <v>44.8</v>
      </c>
      <c r="BJ34" s="1">
        <v>1099.5</v>
      </c>
      <c r="BK34" s="1">
        <v>44.8</v>
      </c>
      <c r="BL34" s="1">
        <v>99.3</v>
      </c>
    </row>
    <row r="35" spans="1:64" s="1" customFormat="1" x14ac:dyDescent="0.2">
      <c r="A35" s="1" t="s">
        <v>55</v>
      </c>
      <c r="B35" s="1">
        <v>955</v>
      </c>
      <c r="C35" s="1">
        <v>16996</v>
      </c>
      <c r="D35" s="1">
        <v>164.19</v>
      </c>
      <c r="E35" s="1">
        <v>19.011500000000002</v>
      </c>
      <c r="F35" s="1">
        <v>3.2</v>
      </c>
      <c r="G35" s="1">
        <v>0.32285999999999998</v>
      </c>
      <c r="H35" s="1">
        <v>4</v>
      </c>
      <c r="I35" s="1">
        <v>4.4538000000000001E-2</v>
      </c>
      <c r="J35" s="1">
        <v>2.4</v>
      </c>
      <c r="K35" s="1">
        <v>0.59599999999999997</v>
      </c>
      <c r="L35" s="1">
        <v>280.89999999999998</v>
      </c>
      <c r="M35" s="1">
        <v>6.6</v>
      </c>
      <c r="N35" s="1">
        <v>284.10000000000002</v>
      </c>
      <c r="O35" s="1">
        <v>9.9</v>
      </c>
      <c r="P35" s="1">
        <v>310.5</v>
      </c>
      <c r="Q35" s="1">
        <v>73.2</v>
      </c>
      <c r="R35" s="1">
        <v>280.89999999999998</v>
      </c>
      <c r="S35" s="1">
        <v>6.6</v>
      </c>
      <c r="T35" s="1">
        <v>90.5</v>
      </c>
      <c r="AS35" s="1" t="s">
        <v>392</v>
      </c>
      <c r="AT35" s="1">
        <v>321</v>
      </c>
      <c r="AU35" s="1">
        <v>12020</v>
      </c>
      <c r="AV35" s="1">
        <v>14.67</v>
      </c>
      <c r="AW35" s="1">
        <v>13.1813</v>
      </c>
      <c r="AX35" s="1">
        <v>3.2</v>
      </c>
      <c r="AY35" s="1">
        <v>1.9733099999999999</v>
      </c>
      <c r="AZ35" s="1">
        <v>4.2</v>
      </c>
      <c r="BA35" s="1">
        <v>0.18873300000000001</v>
      </c>
      <c r="BB35" s="1">
        <v>2.7</v>
      </c>
      <c r="BC35" s="1">
        <v>0.63900000000000001</v>
      </c>
      <c r="BD35" s="1">
        <v>1114.5</v>
      </c>
      <c r="BE35" s="1">
        <v>27.2</v>
      </c>
      <c r="BF35" s="1">
        <v>1106.4000000000001</v>
      </c>
      <c r="BG35" s="1">
        <v>28</v>
      </c>
      <c r="BH35" s="1">
        <v>1090.5999999999999</v>
      </c>
      <c r="BI35" s="1">
        <v>64</v>
      </c>
      <c r="BJ35" s="1">
        <v>1090.5999999999999</v>
      </c>
      <c r="BK35" s="1">
        <v>64</v>
      </c>
      <c r="BL35" s="1">
        <v>102.2</v>
      </c>
    </row>
    <row r="36" spans="1:64" s="1" customFormat="1" x14ac:dyDescent="0.2">
      <c r="A36" s="1" t="s">
        <v>38</v>
      </c>
      <c r="B36" s="1">
        <v>1122</v>
      </c>
      <c r="C36" s="1">
        <v>9670</v>
      </c>
      <c r="D36" s="1">
        <v>5.62</v>
      </c>
      <c r="E36" s="1">
        <v>19.612200000000001</v>
      </c>
      <c r="F36" s="1">
        <v>5</v>
      </c>
      <c r="G36" s="1">
        <v>0.31513000000000002</v>
      </c>
      <c r="H36" s="1">
        <v>5.4</v>
      </c>
      <c r="I36" s="1">
        <v>4.4844000000000002E-2</v>
      </c>
      <c r="J36" s="1">
        <v>2</v>
      </c>
      <c r="K36" s="1">
        <v>0.36899999999999999</v>
      </c>
      <c r="L36" s="1">
        <v>282.8</v>
      </c>
      <c r="M36" s="1">
        <v>5.5</v>
      </c>
      <c r="N36" s="1">
        <v>278.10000000000002</v>
      </c>
      <c r="O36" s="1">
        <v>13</v>
      </c>
      <c r="P36" s="1">
        <v>239.3</v>
      </c>
      <c r="Q36" s="1">
        <v>114.8</v>
      </c>
      <c r="R36" s="1">
        <v>282.8</v>
      </c>
      <c r="S36" s="1">
        <v>5.5</v>
      </c>
      <c r="T36" s="1">
        <v>118.2</v>
      </c>
      <c r="AS36" s="1" t="s">
        <v>375</v>
      </c>
      <c r="AT36" s="1">
        <v>1282</v>
      </c>
      <c r="AU36" s="1">
        <v>43177</v>
      </c>
      <c r="AV36" s="1">
        <v>5.2</v>
      </c>
      <c r="AW36" s="1">
        <v>17.0641</v>
      </c>
      <c r="AX36" s="1">
        <v>2.5</v>
      </c>
      <c r="AY36" s="1">
        <v>0.73463000000000001</v>
      </c>
      <c r="AZ36" s="1">
        <v>3.4</v>
      </c>
      <c r="BA36" s="1">
        <v>9.0958999999999998E-2</v>
      </c>
      <c r="BB36" s="1">
        <v>2.2000000000000002</v>
      </c>
      <c r="BC36" s="1">
        <v>0.66200000000000003</v>
      </c>
      <c r="BD36" s="1">
        <v>561.20000000000005</v>
      </c>
      <c r="BE36" s="1">
        <v>12</v>
      </c>
      <c r="BF36" s="1">
        <v>559.29999999999995</v>
      </c>
      <c r="BG36" s="1">
        <v>14.5</v>
      </c>
      <c r="BH36" s="1">
        <v>551.4</v>
      </c>
      <c r="BI36" s="1">
        <v>55.1</v>
      </c>
      <c r="BJ36" s="1">
        <v>561.20000000000005</v>
      </c>
      <c r="BK36" s="1">
        <v>12</v>
      </c>
      <c r="BL36" s="1">
        <v>101.8</v>
      </c>
    </row>
    <row r="37" spans="1:64" s="1" customFormat="1" x14ac:dyDescent="0.2">
      <c r="A37" s="1" t="s">
        <v>54</v>
      </c>
      <c r="B37" s="1">
        <v>1252</v>
      </c>
      <c r="C37" s="1">
        <v>75120</v>
      </c>
      <c r="D37" s="1">
        <v>31.02</v>
      </c>
      <c r="E37" s="1">
        <v>18.928599999999999</v>
      </c>
      <c r="F37" s="1">
        <v>2.8</v>
      </c>
      <c r="G37" s="1">
        <v>0.32693</v>
      </c>
      <c r="H37" s="1">
        <v>4.2</v>
      </c>
      <c r="I37" s="1">
        <v>4.4901999999999997E-2</v>
      </c>
      <c r="J37" s="1">
        <v>3.2</v>
      </c>
      <c r="K37" s="1">
        <v>0.753</v>
      </c>
      <c r="L37" s="1">
        <v>283.10000000000002</v>
      </c>
      <c r="M37" s="1">
        <v>8.8000000000000007</v>
      </c>
      <c r="N37" s="1">
        <v>287.2</v>
      </c>
      <c r="O37" s="1">
        <v>10.5</v>
      </c>
      <c r="P37" s="1">
        <v>320.5</v>
      </c>
      <c r="Q37" s="1">
        <v>62.9</v>
      </c>
      <c r="R37" s="1">
        <v>283.10000000000002</v>
      </c>
      <c r="S37" s="1">
        <v>8.8000000000000007</v>
      </c>
      <c r="T37" s="1">
        <v>88.3</v>
      </c>
      <c r="AS37" s="1" t="s">
        <v>391</v>
      </c>
      <c r="AT37" s="1">
        <v>274</v>
      </c>
      <c r="AU37" s="1">
        <v>37175</v>
      </c>
      <c r="AV37" s="1">
        <v>1.2</v>
      </c>
      <c r="AW37" s="1">
        <v>17.544899999999998</v>
      </c>
      <c r="AX37" s="1">
        <v>4.5999999999999996</v>
      </c>
      <c r="AY37" s="1">
        <v>0.53017999999999998</v>
      </c>
      <c r="AZ37" s="1">
        <v>5.8</v>
      </c>
      <c r="BA37" s="1">
        <v>6.7494999999999999E-2</v>
      </c>
      <c r="BB37" s="1">
        <v>3.5</v>
      </c>
      <c r="BC37" s="1">
        <v>0.6</v>
      </c>
      <c r="BD37" s="1">
        <v>421</v>
      </c>
      <c r="BE37" s="1">
        <v>14.1</v>
      </c>
      <c r="BF37" s="1">
        <v>431.9</v>
      </c>
      <c r="BG37" s="1">
        <v>20.2</v>
      </c>
      <c r="BH37" s="1">
        <v>490.4</v>
      </c>
      <c r="BI37" s="1">
        <v>101.5</v>
      </c>
      <c r="BJ37" s="1">
        <v>421</v>
      </c>
      <c r="BK37" s="1">
        <v>14.1</v>
      </c>
      <c r="BL37" s="1">
        <v>85.8</v>
      </c>
    </row>
    <row r="38" spans="1:64" s="1" customFormat="1" x14ac:dyDescent="0.2">
      <c r="A38" s="1" t="s">
        <v>21</v>
      </c>
      <c r="B38" s="1">
        <v>1077</v>
      </c>
      <c r="C38" s="1">
        <v>25438</v>
      </c>
      <c r="D38" s="1">
        <v>48.99</v>
      </c>
      <c r="E38" s="1">
        <v>19.2729</v>
      </c>
      <c r="F38" s="1">
        <v>3.3</v>
      </c>
      <c r="G38" s="1">
        <v>0.32338</v>
      </c>
      <c r="H38" s="1">
        <v>4</v>
      </c>
      <c r="I38" s="1">
        <v>4.5222999999999999E-2</v>
      </c>
      <c r="J38" s="1">
        <v>2.4</v>
      </c>
      <c r="K38" s="1">
        <v>0.58699999999999997</v>
      </c>
      <c r="L38" s="1">
        <v>285.10000000000002</v>
      </c>
      <c r="M38" s="1">
        <v>6.6</v>
      </c>
      <c r="N38" s="1">
        <v>284.5</v>
      </c>
      <c r="O38" s="1">
        <v>10</v>
      </c>
      <c r="P38" s="1">
        <v>279.39999999999998</v>
      </c>
      <c r="Q38" s="1">
        <v>74.400000000000006</v>
      </c>
      <c r="R38" s="1">
        <v>285.10000000000002</v>
      </c>
      <c r="S38" s="1">
        <v>6.6</v>
      </c>
      <c r="T38" s="1">
        <v>102</v>
      </c>
      <c r="W38" s="1" t="s">
        <v>217</v>
      </c>
      <c r="X38" s="1">
        <v>530</v>
      </c>
      <c r="Y38" s="1">
        <v>301239</v>
      </c>
      <c r="Z38" s="1">
        <v>7.55</v>
      </c>
      <c r="AA38" s="1">
        <v>8.5235000000000003</v>
      </c>
      <c r="AB38" s="1">
        <v>1.4</v>
      </c>
      <c r="AC38" s="1">
        <v>3.3572500000000001</v>
      </c>
      <c r="AD38" s="1">
        <v>7.1</v>
      </c>
      <c r="AE38" s="1">
        <v>0.20763200000000001</v>
      </c>
      <c r="AF38" s="1">
        <v>6.9</v>
      </c>
      <c r="AG38" s="1">
        <v>0.98</v>
      </c>
      <c r="AH38" s="1">
        <v>1216.2</v>
      </c>
      <c r="AI38" s="1">
        <v>77</v>
      </c>
      <c r="AJ38" s="1">
        <v>1494.5</v>
      </c>
      <c r="AK38" s="1">
        <v>55.5</v>
      </c>
      <c r="AL38" s="1">
        <v>1915</v>
      </c>
      <c r="AM38" s="1">
        <v>25.3</v>
      </c>
      <c r="AN38" s="1">
        <v>1915</v>
      </c>
      <c r="AO38" s="1">
        <v>25.3</v>
      </c>
      <c r="AP38" s="1">
        <v>63.5</v>
      </c>
      <c r="AS38" s="1" t="s">
        <v>358</v>
      </c>
      <c r="AT38" s="1">
        <v>271</v>
      </c>
      <c r="AU38" s="1">
        <v>18316</v>
      </c>
      <c r="AV38" s="1">
        <v>1.8</v>
      </c>
      <c r="AW38" s="1">
        <v>13.2317</v>
      </c>
      <c r="AX38" s="1">
        <v>2.9</v>
      </c>
      <c r="AY38" s="1">
        <v>1.9268400000000001</v>
      </c>
      <c r="AZ38" s="1">
        <v>4</v>
      </c>
      <c r="BA38" s="1">
        <v>0.18499199999999999</v>
      </c>
      <c r="BB38" s="1">
        <v>2.7</v>
      </c>
      <c r="BC38" s="1">
        <v>0.67900000000000005</v>
      </c>
      <c r="BD38" s="1">
        <v>1094.2</v>
      </c>
      <c r="BE38" s="1">
        <v>27.1</v>
      </c>
      <c r="BF38" s="1">
        <v>1090.4000000000001</v>
      </c>
      <c r="BG38" s="1">
        <v>26.5</v>
      </c>
      <c r="BH38" s="1">
        <v>1083</v>
      </c>
      <c r="BI38" s="1">
        <v>58.3</v>
      </c>
      <c r="BJ38" s="1">
        <v>1083</v>
      </c>
      <c r="BK38" s="1">
        <v>58.3</v>
      </c>
      <c r="BL38" s="1">
        <v>101</v>
      </c>
    </row>
    <row r="39" spans="1:64" s="1" customFormat="1" x14ac:dyDescent="0.2">
      <c r="A39" s="1" t="s">
        <v>56</v>
      </c>
      <c r="B39" s="1">
        <v>1145</v>
      </c>
      <c r="C39" s="1">
        <v>15617</v>
      </c>
      <c r="D39" s="1">
        <v>67.66</v>
      </c>
      <c r="E39" s="1">
        <v>19.430599999999998</v>
      </c>
      <c r="F39" s="1">
        <v>3.6</v>
      </c>
      <c r="G39" s="1">
        <v>0.32075999999999999</v>
      </c>
      <c r="H39" s="1">
        <v>4.2</v>
      </c>
      <c r="I39" s="1">
        <v>4.5222999999999999E-2</v>
      </c>
      <c r="J39" s="1">
        <v>2.1</v>
      </c>
      <c r="K39" s="1">
        <v>0.51400000000000001</v>
      </c>
      <c r="L39" s="1">
        <v>285.10000000000002</v>
      </c>
      <c r="M39" s="1">
        <v>6</v>
      </c>
      <c r="N39" s="1">
        <v>282.5</v>
      </c>
      <c r="O39" s="1">
        <v>10.3</v>
      </c>
      <c r="P39" s="1">
        <v>260.7</v>
      </c>
      <c r="Q39" s="1">
        <v>82.2</v>
      </c>
      <c r="R39" s="1">
        <v>285.10000000000002</v>
      </c>
      <c r="S39" s="1">
        <v>6</v>
      </c>
      <c r="T39" s="1">
        <v>109.4</v>
      </c>
      <c r="AS39" s="1" t="s">
        <v>393</v>
      </c>
      <c r="AT39" s="1">
        <v>1246</v>
      </c>
      <c r="AU39" s="1">
        <v>109655</v>
      </c>
      <c r="AV39" s="1">
        <v>5.31</v>
      </c>
      <c r="AW39" s="1">
        <v>16.870699999999999</v>
      </c>
      <c r="AX39" s="1">
        <v>2</v>
      </c>
      <c r="AY39" s="1">
        <v>0.73624000000000001</v>
      </c>
      <c r="AZ39" s="1">
        <v>3.1</v>
      </c>
      <c r="BA39" s="1">
        <v>9.0124999999999997E-2</v>
      </c>
      <c r="BB39" s="1">
        <v>2.4</v>
      </c>
      <c r="BC39" s="1">
        <v>0.76200000000000001</v>
      </c>
      <c r="BD39" s="1">
        <v>556.29999999999995</v>
      </c>
      <c r="BE39" s="1">
        <v>12.7</v>
      </c>
      <c r="BF39" s="1">
        <v>560.20000000000005</v>
      </c>
      <c r="BG39" s="1">
        <v>13.4</v>
      </c>
      <c r="BH39" s="1">
        <v>576.20000000000005</v>
      </c>
      <c r="BI39" s="1">
        <v>43.9</v>
      </c>
      <c r="BJ39" s="1">
        <v>556.29999999999995</v>
      </c>
      <c r="BK39" s="1">
        <v>12.7</v>
      </c>
      <c r="BL39" s="1">
        <v>96.5</v>
      </c>
    </row>
    <row r="40" spans="1:64" s="1" customFormat="1" x14ac:dyDescent="0.2">
      <c r="A40" s="1" t="s">
        <v>43</v>
      </c>
      <c r="B40" s="1">
        <v>1787</v>
      </c>
      <c r="C40" s="1">
        <v>31571</v>
      </c>
      <c r="D40" s="1">
        <v>153.72999999999999</v>
      </c>
      <c r="E40" s="1">
        <v>19.146999999999998</v>
      </c>
      <c r="F40" s="1">
        <v>2.8</v>
      </c>
      <c r="G40" s="1">
        <v>0.32593</v>
      </c>
      <c r="H40" s="1">
        <v>3.7</v>
      </c>
      <c r="I40" s="1">
        <v>4.5281000000000002E-2</v>
      </c>
      <c r="J40" s="1">
        <v>2.5</v>
      </c>
      <c r="K40" s="1">
        <v>0.65700000000000003</v>
      </c>
      <c r="L40" s="1">
        <v>285.5</v>
      </c>
      <c r="M40" s="1">
        <v>6.9</v>
      </c>
      <c r="N40" s="1">
        <v>286.5</v>
      </c>
      <c r="O40" s="1">
        <v>9.3000000000000007</v>
      </c>
      <c r="P40" s="1">
        <v>294.3</v>
      </c>
      <c r="Q40" s="1">
        <v>64.5</v>
      </c>
      <c r="R40" s="1">
        <v>285.5</v>
      </c>
      <c r="S40" s="1">
        <v>6.9</v>
      </c>
      <c r="T40" s="1">
        <v>97</v>
      </c>
      <c r="AS40" s="1" t="s">
        <v>380</v>
      </c>
      <c r="AT40" s="1">
        <v>229</v>
      </c>
      <c r="AU40" s="1">
        <v>22229</v>
      </c>
      <c r="AV40" s="1">
        <v>1.98</v>
      </c>
      <c r="AW40" s="1">
        <v>13.045999999999999</v>
      </c>
      <c r="AX40" s="1">
        <v>2.5</v>
      </c>
      <c r="AY40" s="1">
        <v>1.9889699999999999</v>
      </c>
      <c r="AZ40" s="1">
        <v>5.2</v>
      </c>
      <c r="BA40" s="1">
        <v>0.188279</v>
      </c>
      <c r="BB40" s="1">
        <v>4.5</v>
      </c>
      <c r="BC40" s="1">
        <v>0.875</v>
      </c>
      <c r="BD40" s="1">
        <v>1112</v>
      </c>
      <c r="BE40" s="1">
        <v>46.4</v>
      </c>
      <c r="BF40" s="1">
        <v>1111.8</v>
      </c>
      <c r="BG40" s="1">
        <v>35.1</v>
      </c>
      <c r="BH40" s="1">
        <v>1111.2</v>
      </c>
      <c r="BI40" s="1">
        <v>50.2</v>
      </c>
      <c r="BJ40" s="1">
        <v>1111.2</v>
      </c>
      <c r="BK40" s="1">
        <v>50.2</v>
      </c>
      <c r="BL40" s="1">
        <v>100.1</v>
      </c>
    </row>
    <row r="41" spans="1:64" s="1" customFormat="1" x14ac:dyDescent="0.2">
      <c r="A41" s="1" t="s">
        <v>51</v>
      </c>
      <c r="B41" s="1">
        <v>1111</v>
      </c>
      <c r="C41" s="1">
        <v>78502</v>
      </c>
      <c r="D41" s="1">
        <v>27.83</v>
      </c>
      <c r="E41" s="1">
        <v>19.080200000000001</v>
      </c>
      <c r="F41" s="1">
        <v>1.9</v>
      </c>
      <c r="G41" s="1">
        <v>0.3286</v>
      </c>
      <c r="H41" s="1">
        <v>3.2</v>
      </c>
      <c r="I41" s="1">
        <v>4.5492999999999999E-2</v>
      </c>
      <c r="J41" s="1">
        <v>2.6</v>
      </c>
      <c r="K41" s="1">
        <v>0.81299999999999994</v>
      </c>
      <c r="L41" s="1">
        <v>286.8</v>
      </c>
      <c r="M41" s="1">
        <v>7.4</v>
      </c>
      <c r="N41" s="1">
        <v>288.5</v>
      </c>
      <c r="O41" s="1">
        <v>8.1</v>
      </c>
      <c r="P41" s="1">
        <v>302.3</v>
      </c>
      <c r="Q41" s="1">
        <v>42.9</v>
      </c>
      <c r="R41" s="1">
        <v>286.8</v>
      </c>
      <c r="S41" s="1">
        <v>7.4</v>
      </c>
      <c r="T41" s="1">
        <v>94.9</v>
      </c>
      <c r="AS41" s="1" t="s">
        <v>388</v>
      </c>
      <c r="AT41" s="1">
        <v>223</v>
      </c>
      <c r="AU41" s="1">
        <v>11270</v>
      </c>
      <c r="AV41" s="1">
        <v>1.46</v>
      </c>
      <c r="AW41" s="1">
        <v>13.352499999999999</v>
      </c>
      <c r="AX41" s="1">
        <v>3</v>
      </c>
      <c r="AY41" s="1">
        <v>1.9196299999999999</v>
      </c>
      <c r="AZ41" s="1">
        <v>5.3</v>
      </c>
      <c r="BA41" s="1">
        <v>0.18598300000000001</v>
      </c>
      <c r="BB41" s="1">
        <v>4.4000000000000004</v>
      </c>
      <c r="BC41" s="1">
        <v>0.82599999999999996</v>
      </c>
      <c r="BD41" s="1">
        <v>1099.5999999999999</v>
      </c>
      <c r="BE41" s="1">
        <v>44.2</v>
      </c>
      <c r="BF41" s="1">
        <v>1087.9000000000001</v>
      </c>
      <c r="BG41" s="1">
        <v>35.299999999999997</v>
      </c>
      <c r="BH41" s="1">
        <v>1064.7</v>
      </c>
      <c r="BI41" s="1">
        <v>60</v>
      </c>
      <c r="BJ41" s="1">
        <v>1064.7</v>
      </c>
      <c r="BK41" s="1">
        <v>60</v>
      </c>
      <c r="BL41" s="1">
        <v>103.3</v>
      </c>
    </row>
    <row r="42" spans="1:64" s="1" customFormat="1" x14ac:dyDescent="0.2">
      <c r="A42" s="1" t="s">
        <v>59</v>
      </c>
      <c r="B42" s="1">
        <v>1119</v>
      </c>
      <c r="C42" s="1">
        <v>70068</v>
      </c>
      <c r="D42" s="1">
        <v>78.23</v>
      </c>
      <c r="E42" s="1">
        <v>18.790500000000002</v>
      </c>
      <c r="F42" s="1">
        <v>1.9</v>
      </c>
      <c r="G42" s="1">
        <v>0.33426</v>
      </c>
      <c r="H42" s="1">
        <v>3</v>
      </c>
      <c r="I42" s="1">
        <v>4.5574000000000003E-2</v>
      </c>
      <c r="J42" s="1">
        <v>2.4</v>
      </c>
      <c r="K42" s="1">
        <v>0.79</v>
      </c>
      <c r="L42" s="1">
        <v>287.3</v>
      </c>
      <c r="M42" s="1">
        <v>6.7</v>
      </c>
      <c r="N42" s="1">
        <v>292.8</v>
      </c>
      <c r="O42" s="1">
        <v>7.7</v>
      </c>
      <c r="P42" s="1">
        <v>337.1</v>
      </c>
      <c r="Q42" s="1">
        <v>42</v>
      </c>
      <c r="R42" s="1">
        <v>287.3</v>
      </c>
      <c r="S42" s="1">
        <v>6.7</v>
      </c>
      <c r="T42" s="1">
        <v>85.2</v>
      </c>
      <c r="AS42" s="1" t="s">
        <v>396</v>
      </c>
      <c r="AT42" s="1">
        <v>1269</v>
      </c>
      <c r="AU42" s="1">
        <v>24265</v>
      </c>
      <c r="AV42" s="1">
        <v>5.31</v>
      </c>
      <c r="AW42" s="1">
        <v>17.324999999999999</v>
      </c>
      <c r="AX42" s="1">
        <v>2.4</v>
      </c>
      <c r="AY42" s="1">
        <v>0.71960000000000002</v>
      </c>
      <c r="AZ42" s="1">
        <v>3</v>
      </c>
      <c r="BA42" s="1">
        <v>9.0461E-2</v>
      </c>
      <c r="BB42" s="1">
        <v>1.7</v>
      </c>
      <c r="BC42" s="1">
        <v>0.56000000000000005</v>
      </c>
      <c r="BD42" s="1">
        <v>558.29999999999995</v>
      </c>
      <c r="BE42" s="1">
        <v>8.8000000000000007</v>
      </c>
      <c r="BF42" s="1">
        <v>550.4</v>
      </c>
      <c r="BG42" s="1">
        <v>12.6</v>
      </c>
      <c r="BH42" s="1">
        <v>518.1</v>
      </c>
      <c r="BI42" s="1">
        <v>53.7</v>
      </c>
      <c r="BJ42" s="1">
        <v>558.29999999999995</v>
      </c>
      <c r="BK42" s="1">
        <v>8.8000000000000007</v>
      </c>
      <c r="BL42" s="1">
        <v>107.8</v>
      </c>
    </row>
    <row r="43" spans="1:64" s="1" customFormat="1" x14ac:dyDescent="0.2">
      <c r="A43" s="1" t="s">
        <v>48</v>
      </c>
      <c r="B43" s="1">
        <v>1057</v>
      </c>
      <c r="C43" s="1">
        <v>54138</v>
      </c>
      <c r="D43" s="1">
        <v>52.44</v>
      </c>
      <c r="E43" s="1">
        <v>19.047699999999999</v>
      </c>
      <c r="F43" s="1">
        <v>2.7</v>
      </c>
      <c r="G43" s="1">
        <v>0.33079999999999998</v>
      </c>
      <c r="H43" s="1">
        <v>3.5</v>
      </c>
      <c r="I43" s="1">
        <v>4.5719999999999997E-2</v>
      </c>
      <c r="J43" s="1">
        <v>2.2000000000000002</v>
      </c>
      <c r="K43" s="1">
        <v>0.63600000000000001</v>
      </c>
      <c r="L43" s="1">
        <v>288.2</v>
      </c>
      <c r="M43" s="1">
        <v>6.3</v>
      </c>
      <c r="N43" s="1">
        <v>290.2</v>
      </c>
      <c r="O43" s="1">
        <v>8.9</v>
      </c>
      <c r="P43" s="1">
        <v>306.2</v>
      </c>
      <c r="Q43" s="1">
        <v>62</v>
      </c>
      <c r="R43" s="1">
        <v>288.2</v>
      </c>
      <c r="S43" s="1">
        <v>6.3</v>
      </c>
      <c r="T43" s="1">
        <v>94.1</v>
      </c>
      <c r="AS43" s="1" t="s">
        <v>385</v>
      </c>
      <c r="AT43" s="1">
        <v>1278</v>
      </c>
      <c r="AU43" s="1">
        <v>834070</v>
      </c>
      <c r="AV43" s="1">
        <v>5.26</v>
      </c>
      <c r="AW43" s="1">
        <v>17.043099999999999</v>
      </c>
      <c r="AX43" s="1">
        <v>1.9</v>
      </c>
      <c r="AY43" s="1">
        <v>0.72585</v>
      </c>
      <c r="AZ43" s="1">
        <v>3.2</v>
      </c>
      <c r="BA43" s="1">
        <v>8.9761999999999995E-2</v>
      </c>
      <c r="BB43" s="1">
        <v>2.5</v>
      </c>
      <c r="BC43" s="1">
        <v>0.78700000000000003</v>
      </c>
      <c r="BD43" s="1">
        <v>554.1</v>
      </c>
      <c r="BE43" s="1">
        <v>13.2</v>
      </c>
      <c r="BF43" s="1">
        <v>554.1</v>
      </c>
      <c r="BG43" s="1">
        <v>13.5</v>
      </c>
      <c r="BH43" s="1">
        <v>554</v>
      </c>
      <c r="BI43" s="1">
        <v>42.5</v>
      </c>
      <c r="BJ43" s="1">
        <v>554.1</v>
      </c>
      <c r="BK43" s="1">
        <v>13.2</v>
      </c>
      <c r="BL43" s="1">
        <v>100</v>
      </c>
    </row>
    <row r="44" spans="1:64" s="1" customFormat="1" x14ac:dyDescent="0.2">
      <c r="A44" s="1" t="s">
        <v>20</v>
      </c>
      <c r="B44" s="1">
        <v>1680</v>
      </c>
      <c r="C44" s="1">
        <v>28457</v>
      </c>
      <c r="D44" s="1">
        <v>161.22</v>
      </c>
      <c r="E44" s="1">
        <v>19.1936</v>
      </c>
      <c r="F44" s="1">
        <v>3.3</v>
      </c>
      <c r="G44" s="1">
        <v>0.32950000000000002</v>
      </c>
      <c r="H44" s="1">
        <v>4.5</v>
      </c>
      <c r="I44" s="1">
        <v>4.5888999999999999E-2</v>
      </c>
      <c r="J44" s="1">
        <v>3</v>
      </c>
      <c r="K44" s="1">
        <v>0.66800000000000004</v>
      </c>
      <c r="L44" s="1">
        <v>289.2</v>
      </c>
      <c r="M44" s="1">
        <v>8.5</v>
      </c>
      <c r="N44" s="1">
        <v>289.2</v>
      </c>
      <c r="O44" s="1">
        <v>11.3</v>
      </c>
      <c r="P44" s="1">
        <v>288.8</v>
      </c>
      <c r="Q44" s="1">
        <v>76.3</v>
      </c>
      <c r="R44" s="1">
        <v>289.2</v>
      </c>
      <c r="S44" s="1">
        <v>8.5</v>
      </c>
      <c r="T44" s="1">
        <v>100.1</v>
      </c>
      <c r="W44" s="1" t="s">
        <v>216</v>
      </c>
      <c r="X44" s="1">
        <v>430</v>
      </c>
      <c r="Y44" s="1">
        <v>10889</v>
      </c>
      <c r="Z44" s="1">
        <v>3.26</v>
      </c>
      <c r="AA44" s="1">
        <v>8.6033000000000008</v>
      </c>
      <c r="AB44" s="1">
        <v>2.1</v>
      </c>
      <c r="AC44" s="1">
        <v>3.14744</v>
      </c>
      <c r="AD44" s="1">
        <v>3.7</v>
      </c>
      <c r="AE44" s="1">
        <v>0.19647999999999999</v>
      </c>
      <c r="AF44" s="1">
        <v>3.1</v>
      </c>
      <c r="AG44" s="1">
        <v>0.82</v>
      </c>
      <c r="AH44" s="1">
        <v>1156.4000000000001</v>
      </c>
      <c r="AI44" s="1">
        <v>32.299999999999997</v>
      </c>
      <c r="AJ44" s="1">
        <v>1444.4</v>
      </c>
      <c r="AK44" s="1">
        <v>28.7</v>
      </c>
      <c r="AL44" s="1">
        <v>1898.3</v>
      </c>
      <c r="AM44" s="1">
        <v>38.200000000000003</v>
      </c>
      <c r="AN44" s="1">
        <v>1898.3</v>
      </c>
      <c r="AO44" s="1">
        <v>38.200000000000003</v>
      </c>
      <c r="AP44" s="1">
        <v>60.9</v>
      </c>
      <c r="AS44" s="1" t="s">
        <v>357</v>
      </c>
      <c r="AT44" s="1">
        <v>216</v>
      </c>
      <c r="AU44" s="1">
        <v>67833</v>
      </c>
      <c r="AV44" s="1">
        <v>1.79</v>
      </c>
      <c r="AW44" s="1">
        <v>13.1014</v>
      </c>
      <c r="AX44" s="1">
        <v>2.5</v>
      </c>
      <c r="AY44" s="1">
        <v>1.9527300000000001</v>
      </c>
      <c r="AZ44" s="1">
        <v>5.5</v>
      </c>
      <c r="BA44" s="1">
        <v>0.18563299999999999</v>
      </c>
      <c r="BB44" s="1">
        <v>4.9000000000000004</v>
      </c>
      <c r="BC44" s="1">
        <v>0.88600000000000001</v>
      </c>
      <c r="BD44" s="1">
        <v>1097.7</v>
      </c>
      <c r="BE44" s="1">
        <v>49.2</v>
      </c>
      <c r="BF44" s="1">
        <v>1099.4000000000001</v>
      </c>
      <c r="BG44" s="1">
        <v>36.9</v>
      </c>
      <c r="BH44" s="1">
        <v>1102.8</v>
      </c>
      <c r="BI44" s="1">
        <v>51</v>
      </c>
      <c r="BJ44" s="1">
        <v>1102.8</v>
      </c>
      <c r="BK44" s="1">
        <v>51</v>
      </c>
      <c r="BL44" s="1">
        <v>99.5</v>
      </c>
    </row>
    <row r="45" spans="1:64" s="1" customFormat="1" x14ac:dyDescent="0.2">
      <c r="A45" s="1" t="s">
        <v>31</v>
      </c>
      <c r="B45" s="1">
        <v>1679</v>
      </c>
      <c r="C45" s="1">
        <v>68474</v>
      </c>
      <c r="D45" s="1">
        <v>22.16</v>
      </c>
      <c r="E45" s="1">
        <v>19.053699999999999</v>
      </c>
      <c r="F45" s="1">
        <v>2.5</v>
      </c>
      <c r="G45" s="1">
        <v>0.33667000000000002</v>
      </c>
      <c r="H45" s="1">
        <v>4.5</v>
      </c>
      <c r="I45" s="1">
        <v>4.6545999999999997E-2</v>
      </c>
      <c r="J45" s="1">
        <v>3.8</v>
      </c>
      <c r="K45" s="1">
        <v>0.83199999999999996</v>
      </c>
      <c r="L45" s="1">
        <v>293.3</v>
      </c>
      <c r="M45" s="1">
        <v>10.8</v>
      </c>
      <c r="N45" s="1">
        <v>294.60000000000002</v>
      </c>
      <c r="O45" s="1">
        <v>11.6</v>
      </c>
      <c r="P45" s="1">
        <v>305.5</v>
      </c>
      <c r="Q45" s="1">
        <v>57.4</v>
      </c>
      <c r="R45" s="1">
        <v>293.3</v>
      </c>
      <c r="S45" s="1">
        <v>10.8</v>
      </c>
      <c r="T45" s="1">
        <v>96</v>
      </c>
      <c r="AS45" s="1" t="s">
        <v>368</v>
      </c>
      <c r="AT45" s="1">
        <v>1278</v>
      </c>
      <c r="AU45" s="1">
        <v>239083</v>
      </c>
      <c r="AV45" s="1">
        <v>5.27</v>
      </c>
      <c r="AW45" s="1">
        <v>16.879799999999999</v>
      </c>
      <c r="AX45" s="1">
        <v>2.2000000000000002</v>
      </c>
      <c r="AY45" s="1">
        <v>0.73285</v>
      </c>
      <c r="AZ45" s="1">
        <v>3.4</v>
      </c>
      <c r="BA45" s="1">
        <v>8.9759000000000005E-2</v>
      </c>
      <c r="BB45" s="1">
        <v>2.6</v>
      </c>
      <c r="BC45" s="1">
        <v>0.76300000000000001</v>
      </c>
      <c r="BD45" s="1">
        <v>554.1</v>
      </c>
      <c r="BE45" s="1">
        <v>14</v>
      </c>
      <c r="BF45" s="1">
        <v>558.20000000000005</v>
      </c>
      <c r="BG45" s="1">
        <v>14.8</v>
      </c>
      <c r="BH45" s="1">
        <v>575</v>
      </c>
      <c r="BI45" s="1">
        <v>48.4</v>
      </c>
      <c r="BJ45" s="1">
        <v>554.1</v>
      </c>
      <c r="BK45" s="1">
        <v>14</v>
      </c>
      <c r="BL45" s="1">
        <v>96.4</v>
      </c>
    </row>
    <row r="46" spans="1:64" s="1" customFormat="1" x14ac:dyDescent="0.2">
      <c r="A46" s="1" t="s">
        <v>50</v>
      </c>
      <c r="B46" s="1">
        <v>2249</v>
      </c>
      <c r="C46" s="1">
        <v>87235</v>
      </c>
      <c r="D46" s="1">
        <v>5.92</v>
      </c>
      <c r="E46" s="1">
        <v>18.764700000000001</v>
      </c>
      <c r="F46" s="1">
        <v>2.4</v>
      </c>
      <c r="G46" s="1">
        <v>0.34697</v>
      </c>
      <c r="H46" s="1">
        <v>3.2</v>
      </c>
      <c r="I46" s="1">
        <v>4.7241999999999999E-2</v>
      </c>
      <c r="J46" s="1">
        <v>2.2000000000000002</v>
      </c>
      <c r="K46" s="1">
        <v>0.66900000000000004</v>
      </c>
      <c r="L46" s="1">
        <v>297.60000000000002</v>
      </c>
      <c r="M46" s="1">
        <v>6.3</v>
      </c>
      <c r="N46" s="1">
        <v>302.39999999999998</v>
      </c>
      <c r="O46" s="1">
        <v>8.4</v>
      </c>
      <c r="P46" s="1">
        <v>340.2</v>
      </c>
      <c r="Q46" s="1">
        <v>54.1</v>
      </c>
      <c r="R46" s="1">
        <v>297.60000000000002</v>
      </c>
      <c r="S46" s="1">
        <v>6.3</v>
      </c>
      <c r="T46" s="1">
        <v>87.5</v>
      </c>
      <c r="AS46" s="1" t="s">
        <v>387</v>
      </c>
      <c r="AT46" s="1">
        <v>1261</v>
      </c>
      <c r="AU46" s="1">
        <v>391559</v>
      </c>
      <c r="AV46" s="1">
        <v>5.3</v>
      </c>
      <c r="AW46" s="1">
        <v>17.043900000000001</v>
      </c>
      <c r="AX46" s="1">
        <v>2.2000000000000002</v>
      </c>
      <c r="AY46" s="1">
        <v>0.73158999999999996</v>
      </c>
      <c r="AZ46" s="1">
        <v>3.8</v>
      </c>
      <c r="BA46" s="1">
        <v>9.0476000000000001E-2</v>
      </c>
      <c r="BB46" s="1">
        <v>3.1</v>
      </c>
      <c r="BC46" s="1">
        <v>0.81</v>
      </c>
      <c r="BD46" s="1">
        <v>558.4</v>
      </c>
      <c r="BE46" s="1">
        <v>16.5</v>
      </c>
      <c r="BF46" s="1">
        <v>557.5</v>
      </c>
      <c r="BG46" s="1">
        <v>16.399999999999999</v>
      </c>
      <c r="BH46" s="1">
        <v>554</v>
      </c>
      <c r="BI46" s="1">
        <v>48.9</v>
      </c>
      <c r="BJ46" s="1">
        <v>558.4</v>
      </c>
      <c r="BK46" s="1">
        <v>16.5</v>
      </c>
      <c r="BL46" s="1">
        <v>100.8</v>
      </c>
    </row>
    <row r="47" spans="1:64" s="1" customFormat="1" x14ac:dyDescent="0.2">
      <c r="A47" s="1" t="s">
        <v>52</v>
      </c>
      <c r="B47" s="1">
        <v>1011</v>
      </c>
      <c r="C47" s="1">
        <v>10605</v>
      </c>
      <c r="D47" s="1">
        <v>166.48</v>
      </c>
      <c r="E47" s="1">
        <v>19.196899999999999</v>
      </c>
      <c r="F47" s="1">
        <v>4.8</v>
      </c>
      <c r="G47" s="1">
        <v>0.34393000000000001</v>
      </c>
      <c r="H47" s="1">
        <v>5.9</v>
      </c>
      <c r="I47" s="1">
        <v>4.7906999999999998E-2</v>
      </c>
      <c r="J47" s="1">
        <v>3.4</v>
      </c>
      <c r="K47" s="1">
        <v>0.58199999999999996</v>
      </c>
      <c r="L47" s="1">
        <v>301.7</v>
      </c>
      <c r="M47" s="1">
        <v>10.1</v>
      </c>
      <c r="N47" s="1">
        <v>300.10000000000002</v>
      </c>
      <c r="O47" s="1">
        <v>15.3</v>
      </c>
      <c r="P47" s="1">
        <v>288.39999999999998</v>
      </c>
      <c r="Q47" s="1">
        <v>109.1</v>
      </c>
      <c r="R47" s="1">
        <v>301.7</v>
      </c>
      <c r="S47" s="1">
        <v>10.1</v>
      </c>
      <c r="T47" s="1">
        <v>104.6</v>
      </c>
      <c r="AS47" s="1" t="s">
        <v>389</v>
      </c>
      <c r="AT47" s="1">
        <v>1276</v>
      </c>
      <c r="AU47" s="1">
        <v>54491</v>
      </c>
      <c r="AV47" s="1">
        <v>5.23</v>
      </c>
      <c r="AW47" s="1">
        <v>17.111000000000001</v>
      </c>
      <c r="AX47" s="1">
        <v>2.2999999999999998</v>
      </c>
      <c r="AY47" s="1">
        <v>0.73151999999999995</v>
      </c>
      <c r="AZ47" s="1">
        <v>3.5</v>
      </c>
      <c r="BA47" s="1">
        <v>9.0824000000000002E-2</v>
      </c>
      <c r="BB47" s="1">
        <v>2.7</v>
      </c>
      <c r="BC47" s="1">
        <v>0.752</v>
      </c>
      <c r="BD47" s="1">
        <v>560.4</v>
      </c>
      <c r="BE47" s="1">
        <v>14.3</v>
      </c>
      <c r="BF47" s="1">
        <v>557.4</v>
      </c>
      <c r="BG47" s="1">
        <v>15.2</v>
      </c>
      <c r="BH47" s="1">
        <v>545.4</v>
      </c>
      <c r="BI47" s="1">
        <v>51</v>
      </c>
      <c r="BJ47" s="1">
        <v>560.4</v>
      </c>
      <c r="BK47" s="1">
        <v>14.3</v>
      </c>
      <c r="BL47" s="1">
        <v>102.8</v>
      </c>
    </row>
    <row r="48" spans="1:64" s="1" customFormat="1" x14ac:dyDescent="0.2">
      <c r="A48" s="1" t="s">
        <v>36</v>
      </c>
      <c r="B48" s="1">
        <v>2338</v>
      </c>
      <c r="C48" s="1">
        <v>67545</v>
      </c>
      <c r="D48" s="1">
        <v>2.76</v>
      </c>
      <c r="E48" s="1">
        <v>18.997699999999998</v>
      </c>
      <c r="F48" s="1">
        <v>2.5</v>
      </c>
      <c r="G48" s="1">
        <v>0.35185</v>
      </c>
      <c r="H48" s="1">
        <v>3.6</v>
      </c>
      <c r="I48" s="1">
        <v>4.8502000000000003E-2</v>
      </c>
      <c r="J48" s="1">
        <v>2.6</v>
      </c>
      <c r="K48" s="1">
        <v>0.72399999999999998</v>
      </c>
      <c r="L48" s="1">
        <v>305.3</v>
      </c>
      <c r="M48" s="1">
        <v>7.8</v>
      </c>
      <c r="N48" s="1">
        <v>306.10000000000002</v>
      </c>
      <c r="O48" s="1">
        <v>9.6</v>
      </c>
      <c r="P48" s="1">
        <v>312.2</v>
      </c>
      <c r="Q48" s="1">
        <v>56.8</v>
      </c>
      <c r="R48" s="1">
        <v>305.3</v>
      </c>
      <c r="S48" s="1">
        <v>7.8</v>
      </c>
      <c r="T48" s="1">
        <v>97.8</v>
      </c>
      <c r="AS48" s="1" t="s">
        <v>373</v>
      </c>
      <c r="AT48" s="1">
        <v>52</v>
      </c>
      <c r="AU48" s="1">
        <v>1000</v>
      </c>
      <c r="AV48" s="1">
        <v>2.4900000000000002</v>
      </c>
      <c r="AW48" s="1">
        <v>22.890899999999998</v>
      </c>
      <c r="AX48" s="1">
        <v>51.9</v>
      </c>
      <c r="AY48" s="1">
        <v>0.38874999999999998</v>
      </c>
      <c r="AZ48" s="1">
        <v>52.4</v>
      </c>
      <c r="BA48" s="1">
        <v>6.4569000000000001E-2</v>
      </c>
      <c r="BB48" s="1">
        <v>7.5</v>
      </c>
      <c r="BC48" s="1">
        <v>0.14299999999999999</v>
      </c>
      <c r="BD48" s="1">
        <v>403.4</v>
      </c>
      <c r="BE48" s="1">
        <v>29.2</v>
      </c>
      <c r="BF48" s="1">
        <v>333.5</v>
      </c>
      <c r="BG48" s="1">
        <v>149.19999999999999</v>
      </c>
      <c r="BH48" s="1">
        <v>129.5</v>
      </c>
      <c r="BI48" s="1">
        <v>1300</v>
      </c>
      <c r="BJ48" s="1">
        <v>403.4</v>
      </c>
      <c r="BK48" s="1">
        <v>29.2</v>
      </c>
      <c r="BL48" s="1">
        <v>311.5</v>
      </c>
    </row>
    <row r="49" spans="1:64" s="1" customFormat="1" x14ac:dyDescent="0.2">
      <c r="A49" s="1" t="s">
        <v>42</v>
      </c>
      <c r="B49" s="1">
        <v>1685</v>
      </c>
      <c r="C49" s="1">
        <v>69453</v>
      </c>
      <c r="D49" s="1">
        <v>17.239999999999998</v>
      </c>
      <c r="E49" s="1">
        <v>18.8536</v>
      </c>
      <c r="F49" s="1">
        <v>2.1</v>
      </c>
      <c r="G49" s="1">
        <v>0.35818</v>
      </c>
      <c r="H49" s="1">
        <v>3.4</v>
      </c>
      <c r="I49" s="1">
        <v>4.8999000000000001E-2</v>
      </c>
      <c r="J49" s="1">
        <v>2.6</v>
      </c>
      <c r="K49" s="1">
        <v>0.77800000000000002</v>
      </c>
      <c r="L49" s="1">
        <v>308.39999999999998</v>
      </c>
      <c r="M49" s="1">
        <v>7.9</v>
      </c>
      <c r="N49" s="1">
        <v>310.89999999999998</v>
      </c>
      <c r="O49" s="1">
        <v>9.1</v>
      </c>
      <c r="P49" s="1">
        <v>329.5</v>
      </c>
      <c r="Q49" s="1">
        <v>48.3</v>
      </c>
      <c r="R49" s="1">
        <v>308.39999999999998</v>
      </c>
      <c r="S49" s="1">
        <v>7.9</v>
      </c>
      <c r="T49" s="1">
        <v>93.6</v>
      </c>
      <c r="AS49" s="1" t="s">
        <v>379</v>
      </c>
      <c r="AT49" s="1">
        <v>1270</v>
      </c>
      <c r="AU49" s="1">
        <v>29493</v>
      </c>
      <c r="AV49" s="1">
        <v>5.23</v>
      </c>
      <c r="AW49" s="1">
        <v>17.2804</v>
      </c>
      <c r="AX49" s="1">
        <v>2.2000000000000002</v>
      </c>
      <c r="AY49" s="1">
        <v>0.72097999999999995</v>
      </c>
      <c r="AZ49" s="1">
        <v>3.1</v>
      </c>
      <c r="BA49" s="1">
        <v>9.0400999999999995E-2</v>
      </c>
      <c r="BB49" s="1">
        <v>2.1</v>
      </c>
      <c r="BC49" s="1">
        <v>0.69199999999999995</v>
      </c>
      <c r="BD49" s="1">
        <v>557.9</v>
      </c>
      <c r="BE49" s="1">
        <v>11.4</v>
      </c>
      <c r="BF49" s="1">
        <v>551.20000000000005</v>
      </c>
      <c r="BG49" s="1">
        <v>13.2</v>
      </c>
      <c r="BH49" s="1">
        <v>523.79999999999995</v>
      </c>
      <c r="BI49" s="1">
        <v>49</v>
      </c>
      <c r="BJ49" s="1">
        <v>557.9</v>
      </c>
      <c r="BK49" s="1">
        <v>11.4</v>
      </c>
      <c r="BL49" s="1">
        <v>106.5</v>
      </c>
    </row>
    <row r="50" spans="1:64" s="1" customFormat="1" x14ac:dyDescent="0.2">
      <c r="A50" s="1" t="s">
        <v>28</v>
      </c>
      <c r="B50" s="1">
        <v>373</v>
      </c>
      <c r="C50" s="1">
        <v>13017</v>
      </c>
      <c r="D50" s="1">
        <v>2.2999999999999998</v>
      </c>
      <c r="E50" s="1">
        <v>19.3247</v>
      </c>
      <c r="F50" s="1">
        <v>5.5</v>
      </c>
      <c r="G50" s="1">
        <v>0.35017999999999999</v>
      </c>
      <c r="H50" s="1">
        <v>6.6</v>
      </c>
      <c r="I50" s="1">
        <v>4.9102E-2</v>
      </c>
      <c r="J50" s="1">
        <v>3.5</v>
      </c>
      <c r="K50" s="1">
        <v>0.53700000000000003</v>
      </c>
      <c r="L50" s="1">
        <v>309</v>
      </c>
      <c r="M50" s="1">
        <v>10.7</v>
      </c>
      <c r="N50" s="1">
        <v>304.89999999999998</v>
      </c>
      <c r="O50" s="1">
        <v>17.3</v>
      </c>
      <c r="P50" s="1">
        <v>273.2</v>
      </c>
      <c r="Q50" s="1">
        <v>127</v>
      </c>
      <c r="R50" s="1">
        <v>309</v>
      </c>
      <c r="S50" s="1">
        <v>10.7</v>
      </c>
      <c r="T50" s="1">
        <v>113.1</v>
      </c>
      <c r="W50" s="1" t="s">
        <v>224</v>
      </c>
      <c r="X50" s="1">
        <v>14913</v>
      </c>
      <c r="Y50" s="1">
        <v>10397</v>
      </c>
      <c r="Z50" s="1">
        <v>8.7200000000000006</v>
      </c>
      <c r="AA50" s="1">
        <v>15.8187</v>
      </c>
      <c r="AB50" s="1">
        <v>5.0999999999999996</v>
      </c>
      <c r="AC50" s="1">
        <v>0.24864</v>
      </c>
      <c r="AD50" s="1">
        <v>11.9</v>
      </c>
      <c r="AE50" s="1">
        <v>2.8538999999999998E-2</v>
      </c>
      <c r="AF50" s="1">
        <v>10.8</v>
      </c>
      <c r="AG50" s="1">
        <v>0.90200000000000002</v>
      </c>
      <c r="AH50" s="1">
        <v>181.4</v>
      </c>
      <c r="AI50" s="1">
        <v>19.3</v>
      </c>
      <c r="AJ50" s="1">
        <v>225.5</v>
      </c>
      <c r="AK50" s="1">
        <v>24.1</v>
      </c>
      <c r="AL50" s="1">
        <v>714.6</v>
      </c>
      <c r="AM50" s="1">
        <v>109.3</v>
      </c>
      <c r="AN50" s="1">
        <v>181.4</v>
      </c>
      <c r="AO50" s="1">
        <v>19.3</v>
      </c>
      <c r="AP50" s="1">
        <v>25.4</v>
      </c>
      <c r="AS50" s="1" t="s">
        <v>365</v>
      </c>
      <c r="AT50" s="1">
        <v>192</v>
      </c>
      <c r="AU50" s="1">
        <v>31804</v>
      </c>
      <c r="AV50" s="1">
        <v>1.79</v>
      </c>
      <c r="AW50" s="1">
        <v>13.081099999999999</v>
      </c>
      <c r="AX50" s="1">
        <v>3.1</v>
      </c>
      <c r="AY50" s="1">
        <v>1.9163600000000001</v>
      </c>
      <c r="AZ50" s="1">
        <v>4.7</v>
      </c>
      <c r="BA50" s="1">
        <v>0.181893</v>
      </c>
      <c r="BB50" s="1">
        <v>3.5</v>
      </c>
      <c r="BC50" s="1">
        <v>0.748</v>
      </c>
      <c r="BD50" s="1">
        <v>1077.3</v>
      </c>
      <c r="BE50" s="1">
        <v>35.1</v>
      </c>
      <c r="BF50" s="1">
        <v>1086.8</v>
      </c>
      <c r="BG50" s="1">
        <v>31.6</v>
      </c>
      <c r="BH50" s="1">
        <v>1105.9000000000001</v>
      </c>
      <c r="BI50" s="1">
        <v>62.7</v>
      </c>
      <c r="BJ50" s="1">
        <v>1105.9000000000001</v>
      </c>
      <c r="BK50" s="1">
        <v>62.7</v>
      </c>
      <c r="BL50" s="1">
        <v>97.4</v>
      </c>
    </row>
    <row r="51" spans="1:64" s="1" customFormat="1" x14ac:dyDescent="0.2">
      <c r="A51" s="1" t="s">
        <v>27</v>
      </c>
      <c r="B51" s="1">
        <v>181</v>
      </c>
      <c r="C51" s="1">
        <v>7496</v>
      </c>
      <c r="D51" s="1">
        <v>1.95</v>
      </c>
      <c r="E51" s="1">
        <v>18.8794</v>
      </c>
      <c r="F51" s="1">
        <v>7.6</v>
      </c>
      <c r="G51" s="1">
        <v>0.37896000000000002</v>
      </c>
      <c r="H51" s="1">
        <v>9</v>
      </c>
      <c r="I51" s="1">
        <v>5.1912E-2</v>
      </c>
      <c r="J51" s="1">
        <v>4.9000000000000004</v>
      </c>
      <c r="K51" s="1">
        <v>0.53900000000000003</v>
      </c>
      <c r="L51" s="1">
        <v>326.3</v>
      </c>
      <c r="M51" s="1">
        <v>15.4</v>
      </c>
      <c r="N51" s="1">
        <v>326.3</v>
      </c>
      <c r="O51" s="1">
        <v>25.1</v>
      </c>
      <c r="P51" s="1">
        <v>326.39999999999998</v>
      </c>
      <c r="Q51" s="1">
        <v>172.2</v>
      </c>
      <c r="R51" s="1">
        <v>326.3</v>
      </c>
      <c r="S51" s="1">
        <v>15.4</v>
      </c>
      <c r="T51" s="1">
        <v>100</v>
      </c>
      <c r="W51" s="1" t="s">
        <v>223</v>
      </c>
      <c r="X51" s="1">
        <v>855</v>
      </c>
      <c r="Y51" s="1">
        <v>28982</v>
      </c>
      <c r="Z51" s="1">
        <v>4.5</v>
      </c>
      <c r="AA51" s="1">
        <v>19.046500000000002</v>
      </c>
      <c r="AB51" s="1">
        <v>4.2</v>
      </c>
      <c r="AC51" s="1">
        <v>0.33054</v>
      </c>
      <c r="AD51" s="1">
        <v>5.8</v>
      </c>
      <c r="AE51" s="1">
        <v>4.5679999999999998E-2</v>
      </c>
      <c r="AF51" s="1">
        <v>4</v>
      </c>
      <c r="AG51" s="1">
        <v>0.69299999999999995</v>
      </c>
      <c r="AH51" s="1">
        <v>287.89999999999998</v>
      </c>
      <c r="AI51" s="1">
        <v>11.3</v>
      </c>
      <c r="AJ51" s="1">
        <v>290</v>
      </c>
      <c r="AK51" s="1">
        <v>14.7</v>
      </c>
      <c r="AL51" s="1">
        <v>306.3</v>
      </c>
      <c r="AM51" s="1">
        <v>95.4</v>
      </c>
      <c r="AN51" s="1">
        <v>287.89999999999998</v>
      </c>
      <c r="AO51" s="1">
        <v>11.3</v>
      </c>
      <c r="AP51" s="1">
        <v>94</v>
      </c>
      <c r="AS51" s="1" t="s">
        <v>364</v>
      </c>
      <c r="AT51" s="1">
        <v>212</v>
      </c>
      <c r="AU51" s="1">
        <v>63436</v>
      </c>
      <c r="AV51" s="1">
        <v>2.08</v>
      </c>
      <c r="AW51" s="1">
        <v>13.0756</v>
      </c>
      <c r="AX51" s="1">
        <v>2.4</v>
      </c>
      <c r="AY51" s="1">
        <v>1.97495</v>
      </c>
      <c r="AZ51" s="1">
        <v>4.5999999999999996</v>
      </c>
      <c r="BA51" s="1">
        <v>0.18737500000000001</v>
      </c>
      <c r="BB51" s="1">
        <v>3.9</v>
      </c>
      <c r="BC51" s="1">
        <v>0.85</v>
      </c>
      <c r="BD51" s="1">
        <v>1107.0999999999999</v>
      </c>
      <c r="BE51" s="1">
        <v>39.700000000000003</v>
      </c>
      <c r="BF51" s="1">
        <v>1107</v>
      </c>
      <c r="BG51" s="1">
        <v>30.9</v>
      </c>
      <c r="BH51" s="1">
        <v>1106.7</v>
      </c>
      <c r="BI51" s="1">
        <v>48.3</v>
      </c>
      <c r="BJ51" s="1">
        <v>1106.7</v>
      </c>
      <c r="BK51" s="1">
        <v>48.3</v>
      </c>
      <c r="BL51" s="1">
        <v>100</v>
      </c>
    </row>
    <row r="52" spans="1:64" s="1" customFormat="1" x14ac:dyDescent="0.2">
      <c r="A52" s="1" t="s">
        <v>61</v>
      </c>
      <c r="B52" s="1">
        <v>86</v>
      </c>
      <c r="C52" s="1">
        <v>30105</v>
      </c>
      <c r="D52" s="1">
        <v>1.74</v>
      </c>
      <c r="E52" s="1">
        <v>17.956499999999998</v>
      </c>
      <c r="F52" s="1">
        <v>8.6999999999999993</v>
      </c>
      <c r="G52" s="1">
        <v>0.39962999999999999</v>
      </c>
      <c r="H52" s="1">
        <v>10.7</v>
      </c>
      <c r="I52" s="1">
        <v>5.2068000000000003E-2</v>
      </c>
      <c r="J52" s="1">
        <v>6.2</v>
      </c>
      <c r="K52" s="1">
        <v>0.57799999999999996</v>
      </c>
      <c r="L52" s="1">
        <v>327.2</v>
      </c>
      <c r="M52" s="1">
        <v>19.7</v>
      </c>
      <c r="N52" s="1">
        <v>341.4</v>
      </c>
      <c r="O52" s="1">
        <v>31</v>
      </c>
      <c r="P52" s="1">
        <v>439</v>
      </c>
      <c r="Q52" s="1">
        <v>194</v>
      </c>
      <c r="R52" s="1">
        <v>327.2</v>
      </c>
      <c r="S52" s="1">
        <v>19.7</v>
      </c>
      <c r="T52" s="1">
        <v>74.5</v>
      </c>
      <c r="AS52" s="1" t="s">
        <v>398</v>
      </c>
      <c r="AT52" s="1">
        <v>1240</v>
      </c>
      <c r="AU52" s="1">
        <v>101594</v>
      </c>
      <c r="AV52" s="1">
        <v>5.25</v>
      </c>
      <c r="AW52" s="1">
        <v>16.892700000000001</v>
      </c>
      <c r="AX52" s="1">
        <v>2.2999999999999998</v>
      </c>
      <c r="AY52" s="1">
        <v>0.73085999999999995</v>
      </c>
      <c r="AZ52" s="1">
        <v>3.3</v>
      </c>
      <c r="BA52" s="1">
        <v>8.9582999999999996E-2</v>
      </c>
      <c r="BB52" s="1">
        <v>2.2999999999999998</v>
      </c>
      <c r="BC52" s="1">
        <v>0.71099999999999997</v>
      </c>
      <c r="BD52" s="1">
        <v>553.1</v>
      </c>
      <c r="BE52" s="1">
        <v>12.3</v>
      </c>
      <c r="BF52" s="1">
        <v>557.1</v>
      </c>
      <c r="BG52" s="1">
        <v>14</v>
      </c>
      <c r="BH52" s="1">
        <v>573.4</v>
      </c>
      <c r="BI52" s="1">
        <v>49.9</v>
      </c>
      <c r="BJ52" s="1">
        <v>553.1</v>
      </c>
      <c r="BK52" s="1">
        <v>12.3</v>
      </c>
      <c r="BL52" s="1">
        <v>96.5</v>
      </c>
    </row>
    <row r="53" spans="1:64" s="1" customFormat="1" x14ac:dyDescent="0.2">
      <c r="A53" s="1" t="s">
        <v>32</v>
      </c>
      <c r="B53" s="1">
        <v>615</v>
      </c>
      <c r="C53" s="1">
        <v>12726</v>
      </c>
      <c r="D53" s="1">
        <v>3.5</v>
      </c>
      <c r="E53" s="1">
        <v>18.984100000000002</v>
      </c>
      <c r="F53" s="1">
        <v>4.0999999999999996</v>
      </c>
      <c r="G53" s="1">
        <v>0.38479999999999998</v>
      </c>
      <c r="H53" s="1">
        <v>5</v>
      </c>
      <c r="I53" s="1">
        <v>5.3004999999999997E-2</v>
      </c>
      <c r="J53" s="1">
        <v>2.9</v>
      </c>
      <c r="K53" s="1">
        <v>0.56999999999999995</v>
      </c>
      <c r="L53" s="1">
        <v>332.9</v>
      </c>
      <c r="M53" s="1">
        <v>9.3000000000000007</v>
      </c>
      <c r="N53" s="1">
        <v>330.6</v>
      </c>
      <c r="O53" s="1">
        <v>14.1</v>
      </c>
      <c r="P53" s="1">
        <v>313.8</v>
      </c>
      <c r="Q53" s="1">
        <v>93.7</v>
      </c>
      <c r="R53" s="1">
        <v>332.9</v>
      </c>
      <c r="S53" s="1">
        <v>9.3000000000000007</v>
      </c>
      <c r="T53" s="1">
        <v>106.1</v>
      </c>
      <c r="AS53" s="1" t="s">
        <v>369</v>
      </c>
      <c r="AT53" s="1">
        <v>238</v>
      </c>
      <c r="AU53" s="1">
        <v>28075</v>
      </c>
      <c r="AV53" s="1">
        <v>2.38</v>
      </c>
      <c r="AW53" s="1">
        <v>13.037000000000001</v>
      </c>
      <c r="AX53" s="1">
        <v>2.6</v>
      </c>
      <c r="AY53" s="1">
        <v>1.96471</v>
      </c>
      <c r="AZ53" s="1">
        <v>4.4000000000000004</v>
      </c>
      <c r="BA53" s="1">
        <v>0.18585299999999999</v>
      </c>
      <c r="BB53" s="1">
        <v>3.5</v>
      </c>
      <c r="BC53" s="1">
        <v>0.81</v>
      </c>
      <c r="BD53" s="1">
        <v>1098.9000000000001</v>
      </c>
      <c r="BE53" s="1">
        <v>35.700000000000003</v>
      </c>
      <c r="BF53" s="1">
        <v>1103.5</v>
      </c>
      <c r="BG53" s="1">
        <v>29.3</v>
      </c>
      <c r="BH53" s="1">
        <v>1112.5999999999999</v>
      </c>
      <c r="BI53" s="1">
        <v>51</v>
      </c>
      <c r="BJ53" s="1">
        <v>1112.5999999999999</v>
      </c>
      <c r="BK53" s="1">
        <v>51</v>
      </c>
      <c r="BL53" s="1">
        <v>98.8</v>
      </c>
    </row>
    <row r="54" spans="1:64" s="1" customFormat="1" x14ac:dyDescent="0.2">
      <c r="A54" s="1" t="s">
        <v>33</v>
      </c>
      <c r="B54" s="1">
        <v>1595</v>
      </c>
      <c r="C54" s="1">
        <v>84286</v>
      </c>
      <c r="D54" s="1">
        <v>16.760000000000002</v>
      </c>
      <c r="E54" s="1">
        <v>18.7182</v>
      </c>
      <c r="F54" s="1">
        <v>3</v>
      </c>
      <c r="G54" s="1">
        <v>0.39527000000000001</v>
      </c>
      <c r="H54" s="1">
        <v>4.2</v>
      </c>
      <c r="I54" s="1">
        <v>5.3684000000000003E-2</v>
      </c>
      <c r="J54" s="1">
        <v>2.9</v>
      </c>
      <c r="K54" s="1">
        <v>0.68799999999999994</v>
      </c>
      <c r="L54" s="1">
        <v>337.1</v>
      </c>
      <c r="M54" s="1">
        <v>9.4</v>
      </c>
      <c r="N54" s="1">
        <v>338.2</v>
      </c>
      <c r="O54" s="1">
        <v>12</v>
      </c>
      <c r="P54" s="1">
        <v>345.8</v>
      </c>
      <c r="Q54" s="1">
        <v>68.7</v>
      </c>
      <c r="R54" s="1">
        <v>337.1</v>
      </c>
      <c r="S54" s="1">
        <v>9.4</v>
      </c>
      <c r="T54" s="1">
        <v>97.5</v>
      </c>
      <c r="AS54" s="1" t="s">
        <v>370</v>
      </c>
      <c r="AT54" s="1">
        <v>1267</v>
      </c>
      <c r="AU54" s="1">
        <v>213614</v>
      </c>
      <c r="AV54" s="1">
        <v>5.27</v>
      </c>
      <c r="AW54" s="1">
        <v>17.0869</v>
      </c>
      <c r="AX54" s="1">
        <v>1.3</v>
      </c>
      <c r="AY54" s="1">
        <v>0.72880999999999996</v>
      </c>
      <c r="AZ54" s="1">
        <v>2.8</v>
      </c>
      <c r="BA54" s="1">
        <v>9.0358999999999995E-2</v>
      </c>
      <c r="BB54" s="1">
        <v>2.4</v>
      </c>
      <c r="BC54" s="1">
        <v>0.876</v>
      </c>
      <c r="BD54" s="1">
        <v>557.70000000000005</v>
      </c>
      <c r="BE54" s="1">
        <v>13</v>
      </c>
      <c r="BF54" s="1">
        <v>555.9</v>
      </c>
      <c r="BG54" s="1">
        <v>11.9</v>
      </c>
      <c r="BH54" s="1">
        <v>548.5</v>
      </c>
      <c r="BI54" s="1">
        <v>29.3</v>
      </c>
      <c r="BJ54" s="1">
        <v>557.70000000000005</v>
      </c>
      <c r="BK54" s="1">
        <v>13</v>
      </c>
      <c r="BL54" s="1">
        <v>101.7</v>
      </c>
    </row>
    <row r="55" spans="1:64" s="1" customFormat="1" x14ac:dyDescent="0.2">
      <c r="A55" s="1" t="s">
        <v>53</v>
      </c>
      <c r="B55" s="1">
        <v>1699</v>
      </c>
      <c r="C55" s="1">
        <v>34028</v>
      </c>
      <c r="D55" s="1">
        <v>3.71</v>
      </c>
      <c r="E55" s="1">
        <v>17.732099999999999</v>
      </c>
      <c r="F55" s="1">
        <v>2.2999999999999998</v>
      </c>
      <c r="G55" s="1">
        <v>0.51985000000000003</v>
      </c>
      <c r="H55" s="1">
        <v>5.2</v>
      </c>
      <c r="I55" s="1">
        <v>6.6886000000000001E-2</v>
      </c>
      <c r="J55" s="1">
        <v>4.7</v>
      </c>
      <c r="K55" s="1">
        <v>0.89700000000000002</v>
      </c>
      <c r="L55" s="1">
        <v>417.4</v>
      </c>
      <c r="M55" s="1">
        <v>18.899999999999999</v>
      </c>
      <c r="N55" s="1">
        <v>425.1</v>
      </c>
      <c r="O55" s="1">
        <v>18.100000000000001</v>
      </c>
      <c r="P55" s="1">
        <v>466.9</v>
      </c>
      <c r="Q55" s="1">
        <v>51.1</v>
      </c>
      <c r="R55" s="1">
        <v>417.4</v>
      </c>
      <c r="S55" s="1">
        <v>18.899999999999999</v>
      </c>
      <c r="T55" s="1">
        <v>89.4</v>
      </c>
      <c r="AS55" s="1" t="s">
        <v>390</v>
      </c>
      <c r="AT55" s="1">
        <v>416</v>
      </c>
      <c r="AU55" s="1">
        <v>41309</v>
      </c>
      <c r="AV55" s="1">
        <v>1.96</v>
      </c>
      <c r="AW55" s="1">
        <v>13.1112</v>
      </c>
      <c r="AX55" s="1">
        <v>2</v>
      </c>
      <c r="AY55" s="1">
        <v>1.95347</v>
      </c>
      <c r="AZ55" s="1">
        <v>3.8</v>
      </c>
      <c r="BA55" s="1">
        <v>0.18584200000000001</v>
      </c>
      <c r="BB55" s="1">
        <v>3.3</v>
      </c>
      <c r="BC55" s="1">
        <v>0.85399999999999998</v>
      </c>
      <c r="BD55" s="1">
        <v>1098.8</v>
      </c>
      <c r="BE55" s="1">
        <v>32.9</v>
      </c>
      <c r="BF55" s="1">
        <v>1099.5999999999999</v>
      </c>
      <c r="BG55" s="1">
        <v>25.7</v>
      </c>
      <c r="BH55" s="1">
        <v>1101.3</v>
      </c>
      <c r="BI55" s="1">
        <v>39.799999999999997</v>
      </c>
      <c r="BJ55" s="1">
        <v>1101.3</v>
      </c>
      <c r="BK55" s="1">
        <v>39.799999999999997</v>
      </c>
      <c r="BL55" s="1">
        <v>99.8</v>
      </c>
    </row>
    <row r="56" spans="1:64" s="1" customFormat="1" x14ac:dyDescent="0.2">
      <c r="A56" s="1" t="s">
        <v>45</v>
      </c>
      <c r="B56" s="1">
        <v>357</v>
      </c>
      <c r="C56" s="1">
        <v>6588</v>
      </c>
      <c r="D56" s="1">
        <v>2.08</v>
      </c>
      <c r="E56" s="1">
        <v>17.1843</v>
      </c>
      <c r="F56" s="1">
        <v>6.5</v>
      </c>
      <c r="G56" s="1">
        <v>0.70347999999999999</v>
      </c>
      <c r="H56" s="1">
        <v>7.2</v>
      </c>
      <c r="I56" s="1">
        <v>8.7716000000000002E-2</v>
      </c>
      <c r="J56" s="1">
        <v>3.1</v>
      </c>
      <c r="K56" s="1">
        <v>0.42599999999999999</v>
      </c>
      <c r="L56" s="1">
        <v>542</v>
      </c>
      <c r="M56" s="1">
        <v>15.9</v>
      </c>
      <c r="N56" s="1">
        <v>540.9</v>
      </c>
      <c r="O56" s="1">
        <v>30.1</v>
      </c>
      <c r="P56" s="1">
        <v>536</v>
      </c>
      <c r="Q56" s="1">
        <v>142.30000000000001</v>
      </c>
      <c r="R56" s="1">
        <v>542</v>
      </c>
      <c r="S56" s="1">
        <v>15.9</v>
      </c>
      <c r="T56" s="1">
        <v>101.1</v>
      </c>
      <c r="AS56" s="1" t="s">
        <v>382</v>
      </c>
      <c r="AT56" s="1">
        <v>549</v>
      </c>
      <c r="AU56" s="1">
        <v>29534</v>
      </c>
      <c r="AV56" s="1">
        <v>1.98</v>
      </c>
      <c r="AW56" s="1">
        <v>13.012700000000001</v>
      </c>
      <c r="AX56" s="1">
        <v>2.2000000000000002</v>
      </c>
      <c r="AY56" s="1">
        <v>1.9613799999999999</v>
      </c>
      <c r="AZ56" s="1">
        <v>3.6</v>
      </c>
      <c r="BA56" s="1">
        <v>0.185193</v>
      </c>
      <c r="BB56" s="1">
        <v>2.8</v>
      </c>
      <c r="BC56" s="1">
        <v>0.79100000000000004</v>
      </c>
      <c r="BD56" s="1">
        <v>1095.3</v>
      </c>
      <c r="BE56" s="1">
        <v>28.3</v>
      </c>
      <c r="BF56" s="1">
        <v>1102.4000000000001</v>
      </c>
      <c r="BG56" s="1">
        <v>23.9</v>
      </c>
      <c r="BH56" s="1">
        <v>1116.4000000000001</v>
      </c>
      <c r="BI56" s="1">
        <v>43.4</v>
      </c>
      <c r="BJ56" s="1">
        <v>1116.4000000000001</v>
      </c>
      <c r="BK56" s="1">
        <v>43.4</v>
      </c>
      <c r="BL56" s="1">
        <v>98.1</v>
      </c>
    </row>
    <row r="57" spans="1:64" s="1" customFormat="1" x14ac:dyDescent="0.2">
      <c r="A57" s="1" t="s">
        <v>41</v>
      </c>
      <c r="B57" s="1">
        <v>474</v>
      </c>
      <c r="C57" s="1">
        <v>19000</v>
      </c>
      <c r="D57" s="1">
        <v>1.77</v>
      </c>
      <c r="E57" s="1">
        <v>16.879000000000001</v>
      </c>
      <c r="F57" s="1">
        <v>4.3</v>
      </c>
      <c r="G57" s="1">
        <v>0.76465000000000005</v>
      </c>
      <c r="H57" s="1">
        <v>5.7</v>
      </c>
      <c r="I57" s="1">
        <v>9.3648999999999996E-2</v>
      </c>
      <c r="J57" s="1">
        <v>3.8</v>
      </c>
      <c r="K57" s="1">
        <v>0.65800000000000003</v>
      </c>
      <c r="L57" s="1">
        <v>577.1</v>
      </c>
      <c r="M57" s="1">
        <v>20.8</v>
      </c>
      <c r="N57" s="1">
        <v>576.70000000000005</v>
      </c>
      <c r="O57" s="1">
        <v>25.2</v>
      </c>
      <c r="P57" s="1">
        <v>575.1</v>
      </c>
      <c r="Q57" s="1">
        <v>93.8</v>
      </c>
      <c r="R57" s="1">
        <v>577.1</v>
      </c>
      <c r="S57" s="1">
        <v>20.8</v>
      </c>
      <c r="T57" s="1">
        <v>100.3</v>
      </c>
      <c r="AS57" s="1" t="s">
        <v>378</v>
      </c>
      <c r="AT57" s="1">
        <v>227</v>
      </c>
      <c r="AU57" s="1">
        <v>43647</v>
      </c>
      <c r="AV57" s="1">
        <v>2.56</v>
      </c>
      <c r="AW57" s="1">
        <v>13.143800000000001</v>
      </c>
      <c r="AX57" s="1">
        <v>3</v>
      </c>
      <c r="AY57" s="1">
        <v>1.96977</v>
      </c>
      <c r="AZ57" s="1">
        <v>4.5999999999999996</v>
      </c>
      <c r="BA57" s="1">
        <v>0.187857</v>
      </c>
      <c r="BB57" s="1">
        <v>3.5</v>
      </c>
      <c r="BC57" s="1">
        <v>0.754</v>
      </c>
      <c r="BD57" s="1">
        <v>1109.8</v>
      </c>
      <c r="BE57" s="1">
        <v>35.299999999999997</v>
      </c>
      <c r="BF57" s="1">
        <v>1105.2</v>
      </c>
      <c r="BG57" s="1">
        <v>30.9</v>
      </c>
      <c r="BH57" s="1">
        <v>1096.3</v>
      </c>
      <c r="BI57" s="1">
        <v>60.3</v>
      </c>
      <c r="BJ57" s="1">
        <v>1096.3</v>
      </c>
      <c r="BK57" s="1">
        <v>60.3</v>
      </c>
      <c r="BL57" s="1">
        <v>101.2</v>
      </c>
    </row>
    <row r="58" spans="1:64" s="1" customFormat="1" x14ac:dyDescent="0.2">
      <c r="A58" s="1" t="s">
        <v>57</v>
      </c>
      <c r="B58" s="1">
        <v>172</v>
      </c>
      <c r="C58" s="1">
        <v>13402</v>
      </c>
      <c r="D58" s="1">
        <v>1.64</v>
      </c>
      <c r="E58" s="1">
        <v>16.9358</v>
      </c>
      <c r="F58" s="1">
        <v>5.5</v>
      </c>
      <c r="G58" s="1">
        <v>0.77532000000000001</v>
      </c>
      <c r="H58" s="1">
        <v>7.7</v>
      </c>
      <c r="I58" s="1">
        <v>9.5276E-2</v>
      </c>
      <c r="J58" s="1">
        <v>5.3</v>
      </c>
      <c r="K58" s="1">
        <v>0.69099999999999995</v>
      </c>
      <c r="L58" s="1">
        <v>586.70000000000005</v>
      </c>
      <c r="M58" s="1">
        <v>29.7</v>
      </c>
      <c r="N58" s="1">
        <v>582.79999999999995</v>
      </c>
      <c r="O58" s="1">
        <v>34</v>
      </c>
      <c r="P58" s="1">
        <v>567.9</v>
      </c>
      <c r="Q58" s="1">
        <v>120.5</v>
      </c>
      <c r="R58" s="1">
        <v>586.70000000000005</v>
      </c>
      <c r="S58" s="1">
        <v>29.7</v>
      </c>
      <c r="T58" s="1">
        <v>103.3</v>
      </c>
      <c r="AS58" s="1" t="s">
        <v>394</v>
      </c>
      <c r="AT58" s="1">
        <v>1309</v>
      </c>
      <c r="AU58" s="1">
        <v>112673</v>
      </c>
      <c r="AV58" s="1">
        <v>5.26</v>
      </c>
      <c r="AW58" s="1">
        <v>16.8489</v>
      </c>
      <c r="AX58" s="1">
        <v>2.8</v>
      </c>
      <c r="AY58" s="1">
        <v>0.73295999999999994</v>
      </c>
      <c r="AZ58" s="1">
        <v>3.5</v>
      </c>
      <c r="BA58" s="1">
        <v>8.9607999999999993E-2</v>
      </c>
      <c r="BB58" s="1">
        <v>2</v>
      </c>
      <c r="BC58" s="1">
        <v>0.58599999999999997</v>
      </c>
      <c r="BD58" s="1">
        <v>553.20000000000005</v>
      </c>
      <c r="BE58" s="1">
        <v>10.8</v>
      </c>
      <c r="BF58" s="1">
        <v>558.29999999999995</v>
      </c>
      <c r="BG58" s="1">
        <v>14.9</v>
      </c>
      <c r="BH58" s="1">
        <v>579</v>
      </c>
      <c r="BI58" s="1">
        <v>61.2</v>
      </c>
      <c r="BJ58" s="1">
        <v>553.20000000000005</v>
      </c>
      <c r="BK58" s="1">
        <v>10.8</v>
      </c>
      <c r="BL58" s="1">
        <v>95.5</v>
      </c>
    </row>
    <row r="59" spans="1:64" s="1" customFormat="1" x14ac:dyDescent="0.2">
      <c r="A59" s="1" t="s">
        <v>25</v>
      </c>
      <c r="B59" s="1">
        <v>804</v>
      </c>
      <c r="C59" s="1">
        <v>78723</v>
      </c>
      <c r="D59" s="1">
        <v>2.2400000000000002</v>
      </c>
      <c r="E59" s="1">
        <v>16.611000000000001</v>
      </c>
      <c r="F59" s="1">
        <v>1.9</v>
      </c>
      <c r="G59" s="1">
        <v>0.79124000000000005</v>
      </c>
      <c r="H59" s="1">
        <v>2.8</v>
      </c>
      <c r="I59" s="1">
        <v>9.5366999999999993E-2</v>
      </c>
      <c r="J59" s="1">
        <v>2.1</v>
      </c>
      <c r="K59" s="1">
        <v>0.73399999999999999</v>
      </c>
      <c r="L59" s="1">
        <v>587.20000000000005</v>
      </c>
      <c r="M59" s="1">
        <v>11.6</v>
      </c>
      <c r="N59" s="1">
        <v>591.9</v>
      </c>
      <c r="O59" s="1">
        <v>12.6</v>
      </c>
      <c r="P59" s="1">
        <v>609.79999999999995</v>
      </c>
      <c r="Q59" s="1">
        <v>41.2</v>
      </c>
      <c r="R59" s="1">
        <v>587.20000000000005</v>
      </c>
      <c r="S59" s="1">
        <v>11.6</v>
      </c>
      <c r="T59" s="1">
        <v>96.3</v>
      </c>
      <c r="W59" s="1" t="s">
        <v>221</v>
      </c>
      <c r="X59" s="1">
        <v>299</v>
      </c>
      <c r="Y59" s="1">
        <v>8686</v>
      </c>
      <c r="Z59" s="1">
        <v>0.76</v>
      </c>
      <c r="AA59" s="1">
        <v>17.755700000000001</v>
      </c>
      <c r="AB59" s="1">
        <v>6.9</v>
      </c>
      <c r="AC59" s="1">
        <v>0.32845999999999997</v>
      </c>
      <c r="AD59" s="1">
        <v>8.6</v>
      </c>
      <c r="AE59" s="1">
        <v>4.2317E-2</v>
      </c>
      <c r="AF59" s="1">
        <v>5.2</v>
      </c>
      <c r="AG59" s="1">
        <v>0.60299999999999998</v>
      </c>
      <c r="AH59" s="1">
        <v>267.2</v>
      </c>
      <c r="AI59" s="1">
        <v>13.6</v>
      </c>
      <c r="AJ59" s="1">
        <v>288.39999999999998</v>
      </c>
      <c r="AK59" s="1">
        <v>21.7</v>
      </c>
      <c r="AL59" s="1">
        <v>464</v>
      </c>
      <c r="AM59" s="1">
        <v>152.5</v>
      </c>
      <c r="AN59" s="1">
        <v>267.2</v>
      </c>
      <c r="AO59" s="1">
        <v>13.6</v>
      </c>
      <c r="AP59" s="1">
        <v>57.6</v>
      </c>
      <c r="AS59" s="1" t="s">
        <v>362</v>
      </c>
      <c r="AT59" s="1">
        <v>1176</v>
      </c>
      <c r="AU59" s="1">
        <v>66332</v>
      </c>
      <c r="AV59" s="1">
        <v>0.75</v>
      </c>
      <c r="AW59" s="1">
        <v>17.658200000000001</v>
      </c>
      <c r="AX59" s="1">
        <v>2.6</v>
      </c>
      <c r="AY59" s="1">
        <v>0.50024999999999997</v>
      </c>
      <c r="AZ59" s="1">
        <v>3.9</v>
      </c>
      <c r="BA59" s="1">
        <v>6.4096E-2</v>
      </c>
      <c r="BB59" s="1">
        <v>2.9</v>
      </c>
      <c r="BC59" s="1">
        <v>0.74199999999999999</v>
      </c>
      <c r="BD59" s="1">
        <v>400.5</v>
      </c>
      <c r="BE59" s="1">
        <v>11.2</v>
      </c>
      <c r="BF59" s="1">
        <v>411.9</v>
      </c>
      <c r="BG59" s="1">
        <v>13.2</v>
      </c>
      <c r="BH59" s="1">
        <v>476.2</v>
      </c>
      <c r="BI59" s="1">
        <v>57.9</v>
      </c>
      <c r="BJ59" s="1">
        <v>400.5</v>
      </c>
      <c r="BK59" s="1">
        <v>11.2</v>
      </c>
      <c r="BL59" s="1">
        <v>84.1</v>
      </c>
    </row>
    <row r="60" spans="1:64" s="1" customFormat="1" x14ac:dyDescent="0.2">
      <c r="A60" s="1" t="s">
        <v>39</v>
      </c>
      <c r="B60" s="1">
        <v>110</v>
      </c>
      <c r="C60" s="1">
        <v>9139</v>
      </c>
      <c r="D60" s="1">
        <v>1.56</v>
      </c>
      <c r="E60" s="1">
        <v>16.9453</v>
      </c>
      <c r="F60" s="1">
        <v>5.4</v>
      </c>
      <c r="G60" s="1">
        <v>0.77819000000000005</v>
      </c>
      <c r="H60" s="1">
        <v>7</v>
      </c>
      <c r="I60" s="1">
        <v>9.5682000000000003E-2</v>
      </c>
      <c r="J60" s="1">
        <v>4.4000000000000004</v>
      </c>
      <c r="K60" s="1">
        <v>0.628</v>
      </c>
      <c r="L60" s="1">
        <v>589.1</v>
      </c>
      <c r="M60" s="1">
        <v>24.7</v>
      </c>
      <c r="N60" s="1">
        <v>584.4</v>
      </c>
      <c r="O60" s="1">
        <v>31.1</v>
      </c>
      <c r="P60" s="1">
        <v>566.6</v>
      </c>
      <c r="Q60" s="1">
        <v>118.6</v>
      </c>
      <c r="R60" s="1">
        <v>589.1</v>
      </c>
      <c r="S60" s="1">
        <v>24.7</v>
      </c>
      <c r="T60" s="1">
        <v>104</v>
      </c>
      <c r="AS60" s="1" t="s">
        <v>376</v>
      </c>
      <c r="AT60" s="1">
        <v>1154</v>
      </c>
      <c r="AU60" s="1">
        <v>76173</v>
      </c>
      <c r="AV60" s="1">
        <v>5.18</v>
      </c>
      <c r="AW60" s="1">
        <v>16.944500000000001</v>
      </c>
      <c r="AX60" s="1">
        <v>2.7</v>
      </c>
      <c r="AY60" s="1">
        <v>0.72907999999999995</v>
      </c>
      <c r="AZ60" s="1">
        <v>3.7</v>
      </c>
      <c r="BA60" s="1">
        <v>8.9639999999999997E-2</v>
      </c>
      <c r="BB60" s="1">
        <v>2.6</v>
      </c>
      <c r="BC60" s="1">
        <v>0.69899999999999995</v>
      </c>
      <c r="BD60" s="1">
        <v>553.4</v>
      </c>
      <c r="BE60" s="1">
        <v>13.8</v>
      </c>
      <c r="BF60" s="1">
        <v>556</v>
      </c>
      <c r="BG60" s="1">
        <v>16</v>
      </c>
      <c r="BH60" s="1">
        <v>566.70000000000005</v>
      </c>
      <c r="BI60" s="1">
        <v>58</v>
      </c>
      <c r="BJ60" s="1">
        <v>553.4</v>
      </c>
      <c r="BK60" s="1">
        <v>13.8</v>
      </c>
      <c r="BL60" s="1">
        <v>97.7</v>
      </c>
    </row>
    <row r="61" spans="1:64" s="1" customFormat="1" x14ac:dyDescent="0.2">
      <c r="A61" s="1" t="s">
        <v>29</v>
      </c>
      <c r="B61" s="1">
        <v>79</v>
      </c>
      <c r="C61" s="1">
        <v>43041</v>
      </c>
      <c r="D61" s="1">
        <v>1.89</v>
      </c>
      <c r="E61" s="1">
        <v>16.399000000000001</v>
      </c>
      <c r="F61" s="1">
        <v>7.1</v>
      </c>
      <c r="G61" s="1">
        <v>0.80705000000000005</v>
      </c>
      <c r="H61" s="1">
        <v>9.5</v>
      </c>
      <c r="I61" s="1">
        <v>9.6032000000000006E-2</v>
      </c>
      <c r="J61" s="1">
        <v>6.3</v>
      </c>
      <c r="K61" s="1">
        <v>0.66200000000000003</v>
      </c>
      <c r="L61" s="1">
        <v>591.1</v>
      </c>
      <c r="M61" s="1">
        <v>35.6</v>
      </c>
      <c r="N61" s="1">
        <v>600.79999999999995</v>
      </c>
      <c r="O61" s="1">
        <v>43.2</v>
      </c>
      <c r="P61" s="1">
        <v>637.6</v>
      </c>
      <c r="Q61" s="1">
        <v>153.80000000000001</v>
      </c>
      <c r="R61" s="1">
        <v>591.1</v>
      </c>
      <c r="S61" s="1">
        <v>35.6</v>
      </c>
      <c r="T61" s="1">
        <v>92.7</v>
      </c>
      <c r="W61" s="1" t="s">
        <v>225</v>
      </c>
      <c r="X61" s="1">
        <v>933</v>
      </c>
      <c r="Y61" s="1">
        <v>175238</v>
      </c>
      <c r="Z61" s="1">
        <v>5.16</v>
      </c>
      <c r="AA61" s="1">
        <v>5.9504999999999999</v>
      </c>
      <c r="AB61" s="1">
        <v>1.6</v>
      </c>
      <c r="AC61" s="1">
        <v>6.6769400000000001</v>
      </c>
      <c r="AD61" s="1">
        <v>3.1</v>
      </c>
      <c r="AE61" s="1">
        <v>0.28828799999999999</v>
      </c>
      <c r="AF61" s="1">
        <v>2.6</v>
      </c>
      <c r="AG61" s="1">
        <v>0.86</v>
      </c>
      <c r="AH61" s="1">
        <v>1633</v>
      </c>
      <c r="AI61" s="1">
        <v>38.200000000000003</v>
      </c>
      <c r="AJ61" s="1">
        <v>2069.6</v>
      </c>
      <c r="AK61" s="1">
        <v>27.2</v>
      </c>
      <c r="AL61" s="1">
        <v>2537.6</v>
      </c>
      <c r="AM61" s="1">
        <v>26.3</v>
      </c>
      <c r="AN61" s="1">
        <v>2537.6</v>
      </c>
      <c r="AO61" s="1">
        <v>26.3</v>
      </c>
      <c r="AP61" s="1">
        <v>64.400000000000006</v>
      </c>
      <c r="AS61" s="1" t="s">
        <v>366</v>
      </c>
      <c r="AT61" s="1">
        <v>1273</v>
      </c>
      <c r="AU61" s="1">
        <v>61609</v>
      </c>
      <c r="AV61" s="1">
        <v>5.27</v>
      </c>
      <c r="AW61" s="1">
        <v>16.828199999999999</v>
      </c>
      <c r="AX61" s="1">
        <v>2.2000000000000002</v>
      </c>
      <c r="AY61" s="1">
        <v>0.74117</v>
      </c>
      <c r="AZ61" s="1">
        <v>3.1</v>
      </c>
      <c r="BA61" s="1">
        <v>9.0499999999999997E-2</v>
      </c>
      <c r="BB61" s="1">
        <v>2.2000000000000002</v>
      </c>
      <c r="BC61" s="1">
        <v>0.71799999999999997</v>
      </c>
      <c r="BD61" s="1">
        <v>558.5</v>
      </c>
      <c r="BE61" s="1">
        <v>12</v>
      </c>
      <c r="BF61" s="1">
        <v>563.1</v>
      </c>
      <c r="BG61" s="1">
        <v>13.5</v>
      </c>
      <c r="BH61" s="1">
        <v>581.70000000000005</v>
      </c>
      <c r="BI61" s="1">
        <v>47.1</v>
      </c>
      <c r="BJ61" s="1">
        <v>558.5</v>
      </c>
      <c r="BK61" s="1">
        <v>12</v>
      </c>
      <c r="BL61" s="1">
        <v>96</v>
      </c>
    </row>
    <row r="62" spans="1:64" s="1" customFormat="1" x14ac:dyDescent="0.2">
      <c r="A62" s="1" t="s">
        <v>22</v>
      </c>
      <c r="B62" s="1">
        <v>117</v>
      </c>
      <c r="C62" s="1">
        <v>9629</v>
      </c>
      <c r="D62" s="1">
        <v>1.54</v>
      </c>
      <c r="E62" s="1">
        <v>17.132100000000001</v>
      </c>
      <c r="F62" s="1">
        <v>6.5</v>
      </c>
      <c r="G62" s="1">
        <v>0.77344999999999997</v>
      </c>
      <c r="H62" s="1">
        <v>8.6999999999999993</v>
      </c>
      <c r="I62" s="1">
        <v>9.6147999999999997E-2</v>
      </c>
      <c r="J62" s="1">
        <v>5.7</v>
      </c>
      <c r="K62" s="1">
        <v>0.65800000000000003</v>
      </c>
      <c r="L62" s="1">
        <v>591.79999999999995</v>
      </c>
      <c r="M62" s="1">
        <v>32.200000000000003</v>
      </c>
      <c r="N62" s="1">
        <v>581.70000000000005</v>
      </c>
      <c r="O62" s="1">
        <v>38.4</v>
      </c>
      <c r="P62" s="1">
        <v>542.70000000000005</v>
      </c>
      <c r="Q62" s="1">
        <v>142.69999999999999</v>
      </c>
      <c r="R62" s="1">
        <v>591.79999999999995</v>
      </c>
      <c r="S62" s="1">
        <v>32.200000000000003</v>
      </c>
      <c r="T62" s="1">
        <v>109</v>
      </c>
      <c r="W62" s="1" t="s">
        <v>218</v>
      </c>
      <c r="X62" s="1">
        <v>66</v>
      </c>
      <c r="Y62" s="1">
        <v>5278</v>
      </c>
      <c r="Z62" s="1">
        <v>2.14</v>
      </c>
      <c r="AA62" s="1">
        <v>16.7897</v>
      </c>
      <c r="AB62" s="1">
        <v>8.1999999999999993</v>
      </c>
      <c r="AC62" s="1">
        <v>0.69989999999999997</v>
      </c>
      <c r="AD62" s="1">
        <v>10.7</v>
      </c>
      <c r="AE62" s="1">
        <v>8.5264999999999994E-2</v>
      </c>
      <c r="AF62" s="1">
        <v>6.9</v>
      </c>
      <c r="AG62" s="1">
        <v>0.64300000000000002</v>
      </c>
      <c r="AH62" s="1">
        <v>527.5</v>
      </c>
      <c r="AI62" s="1">
        <v>34.700000000000003</v>
      </c>
      <c r="AJ62" s="1">
        <v>538.70000000000005</v>
      </c>
      <c r="AK62" s="1">
        <v>44.6</v>
      </c>
      <c r="AL62" s="1">
        <v>586.70000000000005</v>
      </c>
      <c r="AM62" s="1">
        <v>177.2</v>
      </c>
      <c r="AN62" s="1">
        <v>527.5</v>
      </c>
      <c r="AO62" s="1">
        <v>34.700000000000003</v>
      </c>
      <c r="AP62" s="1">
        <v>89.9</v>
      </c>
      <c r="AS62" s="1" t="s">
        <v>359</v>
      </c>
      <c r="AT62" s="1">
        <v>261</v>
      </c>
      <c r="AU62" s="1">
        <v>12585</v>
      </c>
      <c r="AV62" s="1">
        <v>2.16</v>
      </c>
      <c r="AW62" s="1">
        <v>13.3941</v>
      </c>
      <c r="AX62" s="1">
        <v>2.7</v>
      </c>
      <c r="AY62" s="1">
        <v>1.9084099999999999</v>
      </c>
      <c r="AZ62" s="1">
        <v>4.2</v>
      </c>
      <c r="BA62" s="1">
        <v>0.185473</v>
      </c>
      <c r="BB62" s="1">
        <v>3.2</v>
      </c>
      <c r="BC62" s="1">
        <v>0.76800000000000002</v>
      </c>
      <c r="BD62" s="1">
        <v>1096.8</v>
      </c>
      <c r="BE62" s="1">
        <v>32.5</v>
      </c>
      <c r="BF62" s="1">
        <v>1084</v>
      </c>
      <c r="BG62" s="1">
        <v>28</v>
      </c>
      <c r="BH62" s="1">
        <v>1058.5</v>
      </c>
      <c r="BI62" s="1">
        <v>54.2</v>
      </c>
      <c r="BJ62" s="1">
        <v>1058.5</v>
      </c>
      <c r="BK62" s="1">
        <v>54.2</v>
      </c>
      <c r="BL62" s="1">
        <v>103.6</v>
      </c>
    </row>
    <row r="63" spans="1:64" s="1" customFormat="1" x14ac:dyDescent="0.2">
      <c r="A63" s="1" t="s">
        <v>26</v>
      </c>
      <c r="B63" s="1">
        <v>342</v>
      </c>
      <c r="C63" s="1">
        <v>552499</v>
      </c>
      <c r="D63" s="1">
        <v>3.24</v>
      </c>
      <c r="E63" s="1">
        <v>16.404</v>
      </c>
      <c r="F63" s="1">
        <v>2.2000000000000002</v>
      </c>
      <c r="G63" s="1">
        <v>0.82025999999999999</v>
      </c>
      <c r="H63" s="1">
        <v>3.8</v>
      </c>
      <c r="I63" s="1">
        <v>9.7632999999999998E-2</v>
      </c>
      <c r="J63" s="1">
        <v>3</v>
      </c>
      <c r="K63" s="1">
        <v>0.80200000000000005</v>
      </c>
      <c r="L63" s="1">
        <v>600.5</v>
      </c>
      <c r="M63" s="1">
        <v>17.3</v>
      </c>
      <c r="N63" s="1">
        <v>608.20000000000005</v>
      </c>
      <c r="O63" s="1">
        <v>17.2</v>
      </c>
      <c r="P63" s="1">
        <v>636.9</v>
      </c>
      <c r="Q63" s="1">
        <v>48.2</v>
      </c>
      <c r="R63" s="1">
        <v>600.5</v>
      </c>
      <c r="S63" s="1">
        <v>17.3</v>
      </c>
      <c r="T63" s="1">
        <v>94.3</v>
      </c>
      <c r="W63" s="1" t="s">
        <v>222</v>
      </c>
      <c r="X63" s="1">
        <v>403</v>
      </c>
      <c r="Y63" s="1">
        <v>76500</v>
      </c>
      <c r="Z63" s="1">
        <v>4.54</v>
      </c>
      <c r="AA63" s="1">
        <v>18.965</v>
      </c>
      <c r="AB63" s="1">
        <v>3.8</v>
      </c>
      <c r="AC63" s="1">
        <v>0.33135999999999999</v>
      </c>
      <c r="AD63" s="1">
        <v>6.1</v>
      </c>
      <c r="AE63" s="1">
        <v>4.5598E-2</v>
      </c>
      <c r="AF63" s="1">
        <v>4.7</v>
      </c>
      <c r="AG63" s="1">
        <v>0.77900000000000003</v>
      </c>
      <c r="AH63" s="1">
        <v>287.39999999999998</v>
      </c>
      <c r="AI63" s="1">
        <v>13.3</v>
      </c>
      <c r="AJ63" s="1">
        <v>290.60000000000002</v>
      </c>
      <c r="AK63" s="1">
        <v>15.3</v>
      </c>
      <c r="AL63" s="1">
        <v>316.10000000000002</v>
      </c>
      <c r="AM63" s="1">
        <v>86.4</v>
      </c>
      <c r="AN63" s="1">
        <v>287.39999999999998</v>
      </c>
      <c r="AO63" s="1">
        <v>13.3</v>
      </c>
      <c r="AP63" s="1">
        <v>90.9</v>
      </c>
      <c r="AS63" s="1" t="s">
        <v>363</v>
      </c>
      <c r="AT63" s="1">
        <v>1702</v>
      </c>
      <c r="AU63" s="1">
        <v>79085</v>
      </c>
      <c r="AV63" s="1">
        <v>1.05</v>
      </c>
      <c r="AW63" s="1">
        <v>18.006399999999999</v>
      </c>
      <c r="AX63" s="1">
        <v>2</v>
      </c>
      <c r="AY63" s="1">
        <v>0.51832</v>
      </c>
      <c r="AZ63" s="1">
        <v>3.1</v>
      </c>
      <c r="BA63" s="1">
        <v>6.7720000000000002E-2</v>
      </c>
      <c r="BB63" s="1">
        <v>2.4</v>
      </c>
      <c r="BC63" s="1">
        <v>0.77</v>
      </c>
      <c r="BD63" s="1">
        <v>422.4</v>
      </c>
      <c r="BE63" s="1">
        <v>9.6999999999999993</v>
      </c>
      <c r="BF63" s="1">
        <v>424</v>
      </c>
      <c r="BG63" s="1">
        <v>10.7</v>
      </c>
      <c r="BH63" s="1">
        <v>432.8</v>
      </c>
      <c r="BI63" s="1">
        <v>43.8</v>
      </c>
      <c r="BJ63" s="1">
        <v>422.4</v>
      </c>
      <c r="BK63" s="1">
        <v>9.6999999999999993</v>
      </c>
      <c r="BL63" s="1">
        <v>97.6</v>
      </c>
    </row>
    <row r="64" spans="1:64" s="1" customFormat="1" x14ac:dyDescent="0.2">
      <c r="A64" s="1" t="s">
        <v>30</v>
      </c>
      <c r="B64" s="1">
        <v>112</v>
      </c>
      <c r="C64" s="1">
        <v>35328</v>
      </c>
      <c r="D64" s="1">
        <v>1.65</v>
      </c>
      <c r="E64" s="1">
        <v>16.018599999999999</v>
      </c>
      <c r="F64" s="1">
        <v>5.2</v>
      </c>
      <c r="G64" s="1">
        <v>0.87799000000000005</v>
      </c>
      <c r="H64" s="1">
        <v>8.4</v>
      </c>
      <c r="I64" s="1">
        <v>0.102049</v>
      </c>
      <c r="J64" s="1">
        <v>6.5</v>
      </c>
      <c r="K64" s="1">
        <v>0.78100000000000003</v>
      </c>
      <c r="L64" s="1">
        <v>626.4</v>
      </c>
      <c r="M64" s="1">
        <v>39</v>
      </c>
      <c r="N64" s="1">
        <v>639.9</v>
      </c>
      <c r="O64" s="1">
        <v>39.700000000000003</v>
      </c>
      <c r="P64" s="1">
        <v>687.8</v>
      </c>
      <c r="Q64" s="1">
        <v>111.3</v>
      </c>
      <c r="R64" s="1">
        <v>626.4</v>
      </c>
      <c r="S64" s="1">
        <v>39</v>
      </c>
      <c r="T64" s="1">
        <v>91.1</v>
      </c>
      <c r="AS64" s="1" t="s">
        <v>367</v>
      </c>
      <c r="AT64" s="1">
        <v>297</v>
      </c>
      <c r="AU64" s="1">
        <v>15546</v>
      </c>
      <c r="AV64" s="1">
        <v>1.74</v>
      </c>
      <c r="AW64" s="1">
        <v>13.3239</v>
      </c>
      <c r="AX64" s="1">
        <v>3.1</v>
      </c>
      <c r="AY64" s="1">
        <v>1.93997</v>
      </c>
      <c r="AZ64" s="1">
        <v>4.7</v>
      </c>
      <c r="BA64" s="1">
        <v>0.187552</v>
      </c>
      <c r="BB64" s="1">
        <v>3.5</v>
      </c>
      <c r="BC64" s="1">
        <v>0.748</v>
      </c>
      <c r="BD64" s="1">
        <v>1108.0999999999999</v>
      </c>
      <c r="BE64" s="1">
        <v>36</v>
      </c>
      <c r="BF64" s="1">
        <v>1095</v>
      </c>
      <c r="BG64" s="1">
        <v>31.6</v>
      </c>
      <c r="BH64" s="1">
        <v>1069</v>
      </c>
      <c r="BI64" s="1">
        <v>63</v>
      </c>
      <c r="BJ64" s="1">
        <v>1069</v>
      </c>
      <c r="BK64" s="1">
        <v>63</v>
      </c>
      <c r="BL64" s="1">
        <v>103.7</v>
      </c>
    </row>
    <row r="65" spans="1:64" s="1" customFormat="1" x14ac:dyDescent="0.2">
      <c r="A65" s="1" t="s">
        <v>44</v>
      </c>
      <c r="B65" s="1">
        <v>394</v>
      </c>
      <c r="C65" s="1">
        <v>356473</v>
      </c>
      <c r="D65" s="1">
        <v>2.65</v>
      </c>
      <c r="E65" s="1">
        <v>8.0638000000000005</v>
      </c>
      <c r="F65" s="1">
        <v>2.2000000000000002</v>
      </c>
      <c r="G65" s="1">
        <v>4.9654199999999999</v>
      </c>
      <c r="H65" s="1">
        <v>4.8</v>
      </c>
      <c r="I65" s="1">
        <v>0.29052899999999998</v>
      </c>
      <c r="J65" s="1">
        <v>4.3</v>
      </c>
      <c r="K65" s="1">
        <v>0.89100000000000001</v>
      </c>
      <c r="L65" s="1">
        <v>1644.2</v>
      </c>
      <c r="M65" s="1">
        <v>62.2</v>
      </c>
      <c r="N65" s="1">
        <v>1813.5</v>
      </c>
      <c r="O65" s="1">
        <v>40.700000000000003</v>
      </c>
      <c r="P65" s="1">
        <v>2013.9</v>
      </c>
      <c r="Q65" s="1">
        <v>38.700000000000003</v>
      </c>
      <c r="R65" s="1">
        <v>2013.9</v>
      </c>
      <c r="S65" s="1">
        <v>38.700000000000003</v>
      </c>
      <c r="T65" s="1">
        <v>81.599999999999994</v>
      </c>
      <c r="AS65" s="1" t="s">
        <v>381</v>
      </c>
      <c r="AT65" s="1">
        <v>299</v>
      </c>
      <c r="AU65" s="1">
        <v>162187</v>
      </c>
      <c r="AV65" s="1">
        <v>1.54</v>
      </c>
      <c r="AW65" s="1">
        <v>18.062999999999999</v>
      </c>
      <c r="AX65" s="1">
        <v>4.5</v>
      </c>
      <c r="AY65" s="1">
        <v>0.51390000000000002</v>
      </c>
      <c r="AZ65" s="1">
        <v>6.1</v>
      </c>
      <c r="BA65" s="1">
        <v>6.7353999999999997E-2</v>
      </c>
      <c r="BB65" s="1">
        <v>4.0999999999999996</v>
      </c>
      <c r="BC65" s="1">
        <v>0.66700000000000004</v>
      </c>
      <c r="BD65" s="1">
        <v>420.2</v>
      </c>
      <c r="BE65" s="1">
        <v>16.5</v>
      </c>
      <c r="BF65" s="1">
        <v>421.1</v>
      </c>
      <c r="BG65" s="1">
        <v>21</v>
      </c>
      <c r="BH65" s="1">
        <v>425.8</v>
      </c>
      <c r="BI65" s="1">
        <v>101</v>
      </c>
      <c r="BJ65" s="1">
        <v>420.2</v>
      </c>
      <c r="BK65" s="1">
        <v>16.5</v>
      </c>
      <c r="BL65" s="1">
        <v>98.7</v>
      </c>
    </row>
    <row r="67" spans="1:64" s="1" customFormat="1" x14ac:dyDescent="0.2">
      <c r="A67" s="1" t="s">
        <v>47</v>
      </c>
      <c r="B67" s="1">
        <v>1473</v>
      </c>
      <c r="C67" s="1">
        <v>22675</v>
      </c>
      <c r="D67" s="1">
        <v>9.8699999999999992</v>
      </c>
      <c r="E67" s="1">
        <v>18.923100000000002</v>
      </c>
      <c r="F67" s="1">
        <v>3.1</v>
      </c>
      <c r="G67" s="1">
        <v>0.38490000000000002</v>
      </c>
      <c r="H67" s="1">
        <v>3.8</v>
      </c>
      <c r="I67" s="1">
        <v>5.2847999999999999E-2</v>
      </c>
      <c r="J67" s="1">
        <v>2.2999999999999998</v>
      </c>
      <c r="K67" s="1">
        <v>0.59299999999999997</v>
      </c>
      <c r="L67" s="1">
        <v>332</v>
      </c>
      <c r="M67" s="1">
        <v>7.4</v>
      </c>
      <c r="N67" s="1">
        <v>330.6</v>
      </c>
      <c r="O67" s="1">
        <v>10.8</v>
      </c>
      <c r="P67" s="1">
        <v>321.2</v>
      </c>
      <c r="Q67" s="1">
        <v>70.099999999999994</v>
      </c>
      <c r="R67" s="1">
        <v>332</v>
      </c>
      <c r="S67" s="1">
        <v>7.4</v>
      </c>
      <c r="T67" s="1">
        <v>103.4</v>
      </c>
      <c r="AS67" s="1" t="s">
        <v>384</v>
      </c>
      <c r="AT67" s="1">
        <v>430</v>
      </c>
      <c r="AU67" s="1">
        <v>62389</v>
      </c>
      <c r="AV67" s="1">
        <v>1.74</v>
      </c>
      <c r="AW67" s="1">
        <v>13.136699999999999</v>
      </c>
      <c r="AX67" s="1">
        <v>1.9</v>
      </c>
      <c r="AY67" s="1">
        <v>1.9538899999999999</v>
      </c>
      <c r="AZ67" s="1">
        <v>3</v>
      </c>
      <c r="BA67" s="1">
        <v>0.18624399999999999</v>
      </c>
      <c r="BB67" s="1">
        <v>2.2999999999999998</v>
      </c>
      <c r="BC67" s="1">
        <v>0.76700000000000002</v>
      </c>
      <c r="BD67" s="1">
        <v>1101</v>
      </c>
      <c r="BE67" s="1">
        <v>23.5</v>
      </c>
      <c r="BF67" s="1">
        <v>1099.8</v>
      </c>
      <c r="BG67" s="1">
        <v>20.3</v>
      </c>
      <c r="BH67" s="1">
        <v>1097.4000000000001</v>
      </c>
      <c r="BI67" s="1">
        <v>38.799999999999997</v>
      </c>
      <c r="BJ67" s="1">
        <v>1097.4000000000001</v>
      </c>
      <c r="BK67" s="1">
        <v>38.799999999999997</v>
      </c>
      <c r="BL67" s="1">
        <v>100.3</v>
      </c>
    </row>
    <row r="68" spans="1:64" s="1" customFormat="1" x14ac:dyDescent="0.2">
      <c r="A68" s="1" t="s">
        <v>23</v>
      </c>
      <c r="B68" s="1">
        <v>998</v>
      </c>
      <c r="C68" s="1">
        <v>43673</v>
      </c>
      <c r="D68" s="1">
        <v>8.94</v>
      </c>
      <c r="E68" s="1">
        <v>18.528300000000002</v>
      </c>
      <c r="F68" s="1">
        <v>2.8</v>
      </c>
      <c r="G68" s="1">
        <v>0.40011999999999998</v>
      </c>
      <c r="H68" s="1">
        <v>4.0999999999999996</v>
      </c>
      <c r="I68" s="1">
        <v>5.3793000000000001E-2</v>
      </c>
      <c r="J68" s="1">
        <v>3</v>
      </c>
      <c r="K68" s="1">
        <v>0.73</v>
      </c>
      <c r="L68" s="1">
        <v>337.8</v>
      </c>
      <c r="M68" s="1">
        <v>9.9</v>
      </c>
      <c r="N68" s="1">
        <v>341.7</v>
      </c>
      <c r="O68" s="1">
        <v>11.9</v>
      </c>
      <c r="P68" s="1">
        <v>368.8</v>
      </c>
      <c r="Q68" s="1">
        <v>63.4</v>
      </c>
      <c r="R68" s="1">
        <v>337.8</v>
      </c>
      <c r="S68" s="1">
        <v>9.9</v>
      </c>
      <c r="T68" s="1">
        <v>91.6</v>
      </c>
      <c r="W68" s="1" t="s">
        <v>219</v>
      </c>
      <c r="X68" s="1">
        <v>1582</v>
      </c>
      <c r="Y68" s="1">
        <v>1000</v>
      </c>
      <c r="Z68" s="1">
        <v>0.48</v>
      </c>
      <c r="AA68" s="1">
        <v>2.8275999999999999</v>
      </c>
      <c r="AB68" s="1">
        <v>137.80000000000001</v>
      </c>
      <c r="AC68" s="1">
        <v>4.2516499999999997</v>
      </c>
      <c r="AD68" s="1">
        <v>140.5</v>
      </c>
      <c r="AE68" s="1">
        <v>8.7230000000000002E-2</v>
      </c>
      <c r="AF68" s="1">
        <v>27.3</v>
      </c>
      <c r="AG68" s="1">
        <v>0.19500000000000001</v>
      </c>
      <c r="AH68" s="1">
        <v>539.1</v>
      </c>
      <c r="AI68" s="1">
        <v>141.4</v>
      </c>
      <c r="AJ68" s="1">
        <v>1684.1</v>
      </c>
      <c r="AK68" s="1">
        <v>1311.5</v>
      </c>
      <c r="AL68" s="1">
        <v>500</v>
      </c>
      <c r="AM68" s="1">
        <v>1</v>
      </c>
      <c r="AN68" s="1">
        <v>539.1</v>
      </c>
      <c r="AO68" s="1">
        <v>141.4</v>
      </c>
      <c r="AP68" s="1">
        <v>107.8</v>
      </c>
      <c r="AS68" s="1" t="s">
        <v>360</v>
      </c>
      <c r="AT68" s="1">
        <v>1265</v>
      </c>
      <c r="AU68" s="1">
        <v>143034</v>
      </c>
      <c r="AV68" s="1">
        <v>5.35</v>
      </c>
      <c r="AW68" s="1">
        <v>17.1343</v>
      </c>
      <c r="AX68" s="1">
        <v>1.8</v>
      </c>
      <c r="AY68" s="1">
        <v>0.7298</v>
      </c>
      <c r="AZ68" s="1">
        <v>2.7</v>
      </c>
      <c r="BA68" s="1">
        <v>9.0732999999999994E-2</v>
      </c>
      <c r="BB68" s="1">
        <v>2</v>
      </c>
      <c r="BC68" s="1">
        <v>0.73899999999999999</v>
      </c>
      <c r="BD68" s="1">
        <v>559.9</v>
      </c>
      <c r="BE68" s="1">
        <v>10.7</v>
      </c>
      <c r="BF68" s="1">
        <v>556.4</v>
      </c>
      <c r="BG68" s="1">
        <v>11.6</v>
      </c>
      <c r="BH68" s="1">
        <v>542.4</v>
      </c>
      <c r="BI68" s="1">
        <v>39.700000000000003</v>
      </c>
      <c r="BJ68" s="1">
        <v>559.9</v>
      </c>
      <c r="BK68" s="1">
        <v>10.7</v>
      </c>
      <c r="BL68" s="1">
        <v>103.2</v>
      </c>
    </row>
    <row r="69" spans="1:64" s="1" customFormat="1" x14ac:dyDescent="0.2">
      <c r="A69" s="1" t="s">
        <v>34</v>
      </c>
      <c r="B69" s="1">
        <v>627</v>
      </c>
      <c r="C69" s="1">
        <v>6831</v>
      </c>
      <c r="D69" s="1">
        <v>8.8699999999999992</v>
      </c>
      <c r="E69" s="1">
        <v>19.437000000000001</v>
      </c>
      <c r="F69" s="1">
        <v>6.9</v>
      </c>
      <c r="G69" s="1">
        <v>0.39943000000000001</v>
      </c>
      <c r="H69" s="1">
        <v>7.8</v>
      </c>
      <c r="I69" s="1">
        <v>5.6333000000000001E-2</v>
      </c>
      <c r="J69" s="1">
        <v>3.7</v>
      </c>
      <c r="K69" s="1">
        <v>0.47199999999999998</v>
      </c>
      <c r="L69" s="1">
        <v>353.3</v>
      </c>
      <c r="M69" s="1">
        <v>12.7</v>
      </c>
      <c r="N69" s="1">
        <v>341.2</v>
      </c>
      <c r="O69" s="1">
        <v>22.6</v>
      </c>
      <c r="P69" s="1">
        <v>260</v>
      </c>
      <c r="Q69" s="1">
        <v>158.19999999999999</v>
      </c>
      <c r="R69" s="1">
        <v>353.3</v>
      </c>
      <c r="S69" s="1">
        <v>12.7</v>
      </c>
      <c r="T69" s="1">
        <v>135.9</v>
      </c>
      <c r="AS69" s="1" t="s">
        <v>371</v>
      </c>
      <c r="AT69" s="1">
        <v>141</v>
      </c>
      <c r="AU69" s="1">
        <v>49773</v>
      </c>
      <c r="AV69" s="1">
        <v>2.4500000000000002</v>
      </c>
      <c r="AW69" s="1">
        <v>13.052300000000001</v>
      </c>
      <c r="AX69" s="1">
        <v>3.5</v>
      </c>
      <c r="AY69" s="1">
        <v>1.9539299999999999</v>
      </c>
      <c r="AZ69" s="1">
        <v>6.1</v>
      </c>
      <c r="BA69" s="1">
        <v>0.18505099999999999</v>
      </c>
      <c r="BB69" s="1">
        <v>5</v>
      </c>
      <c r="BC69" s="1">
        <v>0.82</v>
      </c>
      <c r="BD69" s="1">
        <v>1094.5</v>
      </c>
      <c r="BE69" s="1">
        <v>50.4</v>
      </c>
      <c r="BF69" s="1">
        <v>1099.8</v>
      </c>
      <c r="BG69" s="1">
        <v>41</v>
      </c>
      <c r="BH69" s="1">
        <v>1110.3</v>
      </c>
      <c r="BI69" s="1">
        <v>69.8</v>
      </c>
      <c r="BJ69" s="1">
        <v>1110.3</v>
      </c>
      <c r="BK69" s="1">
        <v>69.8</v>
      </c>
      <c r="BL69" s="1">
        <v>98.6</v>
      </c>
    </row>
  </sheetData>
  <sortState xmlns:xlrd2="http://schemas.microsoft.com/office/spreadsheetml/2017/richdata2" ref="A27:BL65">
    <sortCondition ref="R27:R65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9020A-488E-D949-AB4F-26999B34156A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79027-0334-504A-A5D6-C3F601328B26}">
  <dimension ref="A1:BL77"/>
  <sheetViews>
    <sheetView topLeftCell="A44" workbookViewId="0">
      <selection activeCell="R78" sqref="R78"/>
    </sheetView>
  </sheetViews>
  <sheetFormatPr baseColWidth="10" defaultRowHeight="15" x14ac:dyDescent="0.2"/>
  <cols>
    <col min="18" max="18" width="10.83203125" style="1"/>
  </cols>
  <sheetData>
    <row r="1" spans="1:49" x14ac:dyDescent="0.2">
      <c r="A1" t="s">
        <v>0</v>
      </c>
      <c r="W1" t="s">
        <v>207</v>
      </c>
      <c r="X1" t="s">
        <v>226</v>
      </c>
      <c r="Y1" t="s">
        <v>231</v>
      </c>
      <c r="Z1" t="s">
        <v>237</v>
      </c>
      <c r="AA1" t="s">
        <v>243</v>
      </c>
      <c r="AB1" t="s">
        <v>249</v>
      </c>
      <c r="AC1" t="s">
        <v>255</v>
      </c>
      <c r="AD1" t="s">
        <v>261</v>
      </c>
      <c r="AE1" t="s">
        <v>267</v>
      </c>
      <c r="AF1" t="s">
        <v>272</v>
      </c>
      <c r="AG1" t="s">
        <v>277</v>
      </c>
      <c r="AH1" t="s">
        <v>282</v>
      </c>
      <c r="AI1" t="s">
        <v>292</v>
      </c>
      <c r="AJ1" t="s">
        <v>302</v>
      </c>
      <c r="AK1" t="s">
        <v>309</v>
      </c>
      <c r="AL1" t="s">
        <v>314</v>
      </c>
      <c r="AM1" t="s">
        <v>322</v>
      </c>
      <c r="AN1" t="s">
        <v>328</v>
      </c>
      <c r="AO1" t="s">
        <v>334</v>
      </c>
      <c r="AP1" t="s">
        <v>342</v>
      </c>
      <c r="AQ1" t="s">
        <v>347</v>
      </c>
      <c r="AR1" t="s">
        <v>350</v>
      </c>
      <c r="AS1" t="s">
        <v>352</v>
      </c>
      <c r="AT1" t="s">
        <v>431</v>
      </c>
      <c r="AU1" t="s">
        <v>436</v>
      </c>
      <c r="AV1" t="s">
        <v>442</v>
      </c>
      <c r="AW1" t="s">
        <v>447</v>
      </c>
    </row>
    <row r="2" spans="1:49" x14ac:dyDescent="0.2">
      <c r="A2" t="s">
        <v>1</v>
      </c>
      <c r="W2" t="s">
        <v>208</v>
      </c>
      <c r="X2" t="s">
        <v>227</v>
      </c>
      <c r="Y2" t="s">
        <v>232</v>
      </c>
      <c r="Z2" t="s">
        <v>238</v>
      </c>
      <c r="AA2" t="s">
        <v>238</v>
      </c>
      <c r="AB2" t="s">
        <v>238</v>
      </c>
      <c r="AC2" t="s">
        <v>238</v>
      </c>
      <c r="AD2" t="s">
        <v>262</v>
      </c>
      <c r="AE2" t="s">
        <v>268</v>
      </c>
      <c r="AF2" t="s">
        <v>268</v>
      </c>
      <c r="AG2" t="s">
        <v>268</v>
      </c>
      <c r="AH2" t="s">
        <v>268</v>
      </c>
      <c r="AI2" t="s">
        <v>293</v>
      </c>
      <c r="AJ2" t="s">
        <v>303</v>
      </c>
      <c r="AO2" t="s">
        <v>335</v>
      </c>
      <c r="AP2" t="s">
        <v>335</v>
      </c>
      <c r="AQ2" t="s">
        <v>348</v>
      </c>
      <c r="AR2" t="s">
        <v>239</v>
      </c>
      <c r="AS2" t="s">
        <v>245</v>
      </c>
      <c r="AT2" t="s">
        <v>268</v>
      </c>
      <c r="AU2" t="s">
        <v>245</v>
      </c>
      <c r="AV2" t="s">
        <v>245</v>
      </c>
      <c r="AW2" t="s">
        <v>448</v>
      </c>
    </row>
    <row r="3" spans="1:49" x14ac:dyDescent="0.2">
      <c r="A3" t="s">
        <v>2</v>
      </c>
      <c r="W3" t="s">
        <v>209</v>
      </c>
      <c r="Z3" t="s">
        <v>239</v>
      </c>
      <c r="AA3" t="s">
        <v>245</v>
      </c>
      <c r="AD3" t="s">
        <v>263</v>
      </c>
      <c r="AE3" t="s">
        <v>245</v>
      </c>
      <c r="AH3" t="s">
        <v>284</v>
      </c>
      <c r="AI3" t="s">
        <v>263</v>
      </c>
      <c r="AJ3" t="s">
        <v>245</v>
      </c>
      <c r="AK3" t="s">
        <v>245</v>
      </c>
      <c r="AL3" t="s">
        <v>245</v>
      </c>
      <c r="AM3" t="s">
        <v>238</v>
      </c>
      <c r="AN3" t="s">
        <v>329</v>
      </c>
    </row>
    <row r="4" spans="1:49" x14ac:dyDescent="0.2">
      <c r="A4" t="s">
        <v>3</v>
      </c>
      <c r="W4" t="s">
        <v>210</v>
      </c>
      <c r="AB4" t="s">
        <v>245</v>
      </c>
      <c r="AC4" t="s">
        <v>245</v>
      </c>
      <c r="AD4" t="s">
        <v>245</v>
      </c>
      <c r="AE4" t="s">
        <v>245</v>
      </c>
      <c r="AF4" t="s">
        <v>239</v>
      </c>
      <c r="AG4" t="s">
        <v>263</v>
      </c>
      <c r="AH4" t="s">
        <v>245</v>
      </c>
      <c r="AI4" t="s">
        <v>245</v>
      </c>
      <c r="AJ4" t="s">
        <v>305</v>
      </c>
      <c r="AK4" t="s">
        <v>245</v>
      </c>
      <c r="AL4" t="s">
        <v>245</v>
      </c>
      <c r="AM4" t="s">
        <v>284</v>
      </c>
      <c r="AN4" t="s">
        <v>330</v>
      </c>
    </row>
    <row r="5" spans="1:49" x14ac:dyDescent="0.2">
      <c r="A5" t="s">
        <v>4</v>
      </c>
      <c r="B5" t="s">
        <v>160</v>
      </c>
    </row>
    <row r="6" spans="1:49" x14ac:dyDescent="0.2">
      <c r="A6" t="s">
        <v>5</v>
      </c>
      <c r="B6" t="s">
        <v>161</v>
      </c>
    </row>
    <row r="7" spans="1:49" x14ac:dyDescent="0.2">
      <c r="A7" t="s">
        <v>6</v>
      </c>
      <c r="X7" t="s">
        <v>228</v>
      </c>
      <c r="Y7" t="s">
        <v>233</v>
      </c>
      <c r="Z7" t="s">
        <v>240</v>
      </c>
      <c r="AA7" t="s">
        <v>246</v>
      </c>
      <c r="AB7" t="s">
        <v>252</v>
      </c>
      <c r="AC7" t="s">
        <v>258</v>
      </c>
      <c r="AI7" t="s">
        <v>296</v>
      </c>
      <c r="AJ7" t="s">
        <v>306</v>
      </c>
      <c r="AK7" t="s">
        <v>311</v>
      </c>
      <c r="AL7" t="s">
        <v>316</v>
      </c>
      <c r="AM7" t="s">
        <v>325</v>
      </c>
      <c r="AN7" t="s">
        <v>331</v>
      </c>
      <c r="AO7" t="s">
        <v>336</v>
      </c>
      <c r="AP7" t="s">
        <v>344</v>
      </c>
      <c r="AQ7" t="s">
        <v>349</v>
      </c>
      <c r="AT7" t="s">
        <v>433</v>
      </c>
      <c r="AU7" t="s">
        <v>438</v>
      </c>
      <c r="AV7" t="s">
        <v>444</v>
      </c>
    </row>
    <row r="8" spans="1:49" x14ac:dyDescent="0.2">
      <c r="A8" t="s">
        <v>7</v>
      </c>
      <c r="W8" t="s">
        <v>211</v>
      </c>
      <c r="X8">
        <v>0.8</v>
      </c>
      <c r="Y8">
        <v>0.28000000000000003</v>
      </c>
      <c r="Z8">
        <v>0.2</v>
      </c>
      <c r="AA8">
        <v>0</v>
      </c>
      <c r="AB8">
        <v>0.2</v>
      </c>
      <c r="AC8">
        <v>5.2999999999999999E-2</v>
      </c>
      <c r="AH8" t="s">
        <v>286</v>
      </c>
      <c r="AI8" t="s">
        <v>297</v>
      </c>
      <c r="AJ8">
        <v>5.3</v>
      </c>
      <c r="AK8">
        <v>0.4</v>
      </c>
      <c r="AL8" t="s">
        <v>317</v>
      </c>
      <c r="AM8">
        <v>7.8</v>
      </c>
      <c r="AN8">
        <v>0.3</v>
      </c>
      <c r="AO8" t="s">
        <v>337</v>
      </c>
      <c r="AP8">
        <v>11.5</v>
      </c>
      <c r="AQ8">
        <v>0.7</v>
      </c>
      <c r="AS8" t="s">
        <v>354</v>
      </c>
      <c r="AT8">
        <v>0.6</v>
      </c>
      <c r="AU8">
        <v>1.5</v>
      </c>
      <c r="AV8">
        <v>0.6</v>
      </c>
    </row>
    <row r="9" spans="1:49" x14ac:dyDescent="0.2">
      <c r="A9" t="s">
        <v>8</v>
      </c>
      <c r="B9" t="s">
        <v>162</v>
      </c>
      <c r="W9" t="s">
        <v>212</v>
      </c>
      <c r="X9">
        <v>0.71</v>
      </c>
      <c r="Y9">
        <v>0.2</v>
      </c>
      <c r="Z9">
        <v>0.2</v>
      </c>
      <c r="AA9">
        <v>1.2E-2</v>
      </c>
      <c r="AB9">
        <v>0.2</v>
      </c>
      <c r="AC9">
        <v>0.09</v>
      </c>
      <c r="AH9" t="s">
        <v>287</v>
      </c>
      <c r="AI9" t="s">
        <v>298</v>
      </c>
      <c r="AJ9">
        <v>2.4</v>
      </c>
      <c r="AK9">
        <v>0.2</v>
      </c>
      <c r="AL9" t="s">
        <v>318</v>
      </c>
      <c r="AM9">
        <v>8.4</v>
      </c>
      <c r="AN9">
        <v>0.6</v>
      </c>
      <c r="AO9" t="s">
        <v>338</v>
      </c>
      <c r="AP9">
        <v>7.5</v>
      </c>
      <c r="AQ9">
        <v>0.5</v>
      </c>
    </row>
    <row r="10" spans="1:49" x14ac:dyDescent="0.2">
      <c r="A10" t="s">
        <v>9</v>
      </c>
      <c r="B10">
        <v>0.8</v>
      </c>
      <c r="W10" t="s">
        <v>213</v>
      </c>
      <c r="X10">
        <v>3.91</v>
      </c>
      <c r="Y10">
        <v>1.82</v>
      </c>
      <c r="Z10">
        <v>0.5</v>
      </c>
      <c r="AA10">
        <v>7.5999999999999998E-2</v>
      </c>
      <c r="AB10">
        <v>0.5</v>
      </c>
      <c r="AC10">
        <v>0.5</v>
      </c>
      <c r="AH10" t="s">
        <v>288</v>
      </c>
      <c r="AI10" t="s">
        <v>299</v>
      </c>
      <c r="AJ10">
        <v>4.3</v>
      </c>
      <c r="AK10">
        <v>2.7</v>
      </c>
      <c r="AL10" t="s">
        <v>319</v>
      </c>
      <c r="AM10">
        <v>21.6</v>
      </c>
      <c r="AN10">
        <v>0.6</v>
      </c>
      <c r="AO10" t="s">
        <v>339</v>
      </c>
      <c r="AP10">
        <v>9.8000000000000007</v>
      </c>
      <c r="AQ10">
        <v>1.5</v>
      </c>
    </row>
    <row r="11" spans="1:49" x14ac:dyDescent="0.2">
      <c r="A11" t="s">
        <v>10</v>
      </c>
      <c r="B11">
        <v>0.71</v>
      </c>
    </row>
    <row r="12" spans="1:49" x14ac:dyDescent="0.2">
      <c r="A12" t="s">
        <v>11</v>
      </c>
      <c r="B12">
        <v>3.91</v>
      </c>
    </row>
    <row r="13" spans="1:49" x14ac:dyDescent="0.2">
      <c r="A13" t="s">
        <v>12</v>
      </c>
    </row>
    <row r="14" spans="1:49" x14ac:dyDescent="0.2">
      <c r="A14" t="s">
        <v>13</v>
      </c>
      <c r="B14" t="s">
        <v>163</v>
      </c>
    </row>
    <row r="15" spans="1:49" x14ac:dyDescent="0.2">
      <c r="A15" t="s">
        <v>14</v>
      </c>
    </row>
    <row r="16" spans="1:49" x14ac:dyDescent="0.2">
      <c r="A16" t="s">
        <v>15</v>
      </c>
    </row>
    <row r="17" spans="1:64" x14ac:dyDescent="0.2">
      <c r="A17" t="s">
        <v>16</v>
      </c>
      <c r="B17" t="s">
        <v>164</v>
      </c>
    </row>
    <row r="18" spans="1:64" x14ac:dyDescent="0.2">
      <c r="A18" t="s">
        <v>17</v>
      </c>
      <c r="B18" t="s">
        <v>165</v>
      </c>
    </row>
    <row r="19" spans="1:64" x14ac:dyDescent="0.2">
      <c r="B19" t="s">
        <v>166</v>
      </c>
    </row>
    <row r="21" spans="1:64" x14ac:dyDescent="0.2">
      <c r="A21" t="s">
        <v>18</v>
      </c>
      <c r="C21" t="s">
        <v>169</v>
      </c>
      <c r="L21" t="s">
        <v>188</v>
      </c>
      <c r="W21" t="s">
        <v>214</v>
      </c>
      <c r="Y21" t="s">
        <v>169</v>
      </c>
      <c r="AH21" t="s">
        <v>188</v>
      </c>
      <c r="AS21" t="s">
        <v>355</v>
      </c>
      <c r="AU21" t="s">
        <v>169</v>
      </c>
      <c r="BD21" t="s">
        <v>188</v>
      </c>
    </row>
    <row r="23" spans="1:64" x14ac:dyDescent="0.2">
      <c r="A23" t="s">
        <v>19</v>
      </c>
      <c r="B23" t="s">
        <v>167</v>
      </c>
      <c r="C23" t="s">
        <v>170</v>
      </c>
      <c r="D23" t="s">
        <v>172</v>
      </c>
      <c r="E23" t="s">
        <v>174</v>
      </c>
      <c r="F23" t="s">
        <v>176</v>
      </c>
      <c r="G23" t="s">
        <v>175</v>
      </c>
      <c r="H23" t="s">
        <v>176</v>
      </c>
      <c r="I23" t="s">
        <v>174</v>
      </c>
      <c r="J23" t="s">
        <v>176</v>
      </c>
      <c r="K23" t="s">
        <v>186</v>
      </c>
      <c r="L23" t="s">
        <v>174</v>
      </c>
      <c r="M23" t="s">
        <v>176</v>
      </c>
      <c r="N23" t="s">
        <v>175</v>
      </c>
      <c r="O23" t="s">
        <v>176</v>
      </c>
      <c r="P23" t="s">
        <v>174</v>
      </c>
      <c r="Q23" t="s">
        <v>176</v>
      </c>
      <c r="R23" s="1" t="s">
        <v>201</v>
      </c>
      <c r="S23" t="s">
        <v>176</v>
      </c>
      <c r="T23" t="s">
        <v>205</v>
      </c>
      <c r="W23" t="s">
        <v>19</v>
      </c>
      <c r="X23" t="s">
        <v>167</v>
      </c>
      <c r="Y23" t="s">
        <v>170</v>
      </c>
      <c r="Z23" t="s">
        <v>172</v>
      </c>
      <c r="AA23" t="s">
        <v>174</v>
      </c>
      <c r="AB23" t="s">
        <v>176</v>
      </c>
      <c r="AC23" t="s">
        <v>175</v>
      </c>
      <c r="AD23" t="s">
        <v>176</v>
      </c>
      <c r="AE23" t="s">
        <v>174</v>
      </c>
      <c r="AF23" t="s">
        <v>176</v>
      </c>
      <c r="AG23" t="s">
        <v>186</v>
      </c>
      <c r="AH23" t="s">
        <v>174</v>
      </c>
      <c r="AI23" t="s">
        <v>176</v>
      </c>
      <c r="AJ23" t="s">
        <v>175</v>
      </c>
      <c r="AK23" t="s">
        <v>176</v>
      </c>
      <c r="AL23" t="s">
        <v>174</v>
      </c>
      <c r="AM23" t="s">
        <v>176</v>
      </c>
      <c r="AN23" t="s">
        <v>201</v>
      </c>
      <c r="AO23" t="s">
        <v>176</v>
      </c>
      <c r="AP23" t="s">
        <v>205</v>
      </c>
      <c r="AS23" t="s">
        <v>19</v>
      </c>
      <c r="AT23" t="s">
        <v>167</v>
      </c>
      <c r="AU23" t="s">
        <v>170</v>
      </c>
      <c r="AV23" t="s">
        <v>172</v>
      </c>
      <c r="AW23" t="s">
        <v>174</v>
      </c>
      <c r="AX23" t="s">
        <v>176</v>
      </c>
      <c r="AY23" t="s">
        <v>175</v>
      </c>
      <c r="AZ23" t="s">
        <v>176</v>
      </c>
      <c r="BA23" t="s">
        <v>174</v>
      </c>
      <c r="BB23" t="s">
        <v>176</v>
      </c>
      <c r="BC23" t="s">
        <v>186</v>
      </c>
      <c r="BD23" t="s">
        <v>174</v>
      </c>
      <c r="BE23" t="s">
        <v>176</v>
      </c>
      <c r="BF23" t="s">
        <v>175</v>
      </c>
      <c r="BG23" t="s">
        <v>176</v>
      </c>
      <c r="BH23" t="s">
        <v>174</v>
      </c>
      <c r="BI23" t="s">
        <v>176</v>
      </c>
      <c r="BJ23" t="s">
        <v>201</v>
      </c>
      <c r="BK23" t="s">
        <v>176</v>
      </c>
      <c r="BL23" t="s">
        <v>205</v>
      </c>
    </row>
    <row r="24" spans="1:64" x14ac:dyDescent="0.2">
      <c r="B24" t="s">
        <v>168</v>
      </c>
      <c r="C24" t="s">
        <v>171</v>
      </c>
      <c r="D24" t="s">
        <v>173</v>
      </c>
      <c r="E24" t="s">
        <v>175</v>
      </c>
      <c r="F24" t="s">
        <v>177</v>
      </c>
      <c r="G24" t="s">
        <v>179</v>
      </c>
      <c r="H24" t="s">
        <v>177</v>
      </c>
      <c r="I24" t="s">
        <v>183</v>
      </c>
      <c r="J24" t="s">
        <v>177</v>
      </c>
      <c r="K24" t="s">
        <v>187</v>
      </c>
      <c r="L24" t="s">
        <v>183</v>
      </c>
      <c r="M24" t="s">
        <v>192</v>
      </c>
      <c r="N24" t="s">
        <v>179</v>
      </c>
      <c r="O24" t="s">
        <v>192</v>
      </c>
      <c r="P24" t="s">
        <v>175</v>
      </c>
      <c r="Q24" t="s">
        <v>192</v>
      </c>
      <c r="R24" s="1" t="s">
        <v>192</v>
      </c>
      <c r="S24" t="s">
        <v>192</v>
      </c>
      <c r="T24" t="s">
        <v>177</v>
      </c>
      <c r="X24" t="s">
        <v>168</v>
      </c>
      <c r="Y24" t="s">
        <v>171</v>
      </c>
      <c r="Z24" t="s">
        <v>173</v>
      </c>
      <c r="AA24" t="s">
        <v>175</v>
      </c>
      <c r="AB24" t="s">
        <v>177</v>
      </c>
      <c r="AC24" t="s">
        <v>179</v>
      </c>
      <c r="AD24" t="s">
        <v>177</v>
      </c>
      <c r="AE24" t="s">
        <v>183</v>
      </c>
      <c r="AF24" t="s">
        <v>177</v>
      </c>
      <c r="AG24" t="s">
        <v>187</v>
      </c>
      <c r="AH24" t="s">
        <v>183</v>
      </c>
      <c r="AI24" t="s">
        <v>192</v>
      </c>
      <c r="AJ24" t="s">
        <v>179</v>
      </c>
      <c r="AK24" t="s">
        <v>192</v>
      </c>
      <c r="AL24" t="s">
        <v>175</v>
      </c>
      <c r="AM24" t="s">
        <v>192</v>
      </c>
      <c r="AN24" t="s">
        <v>192</v>
      </c>
      <c r="AO24" t="s">
        <v>192</v>
      </c>
      <c r="AP24" t="s">
        <v>177</v>
      </c>
      <c r="AT24" t="s">
        <v>168</v>
      </c>
      <c r="AU24" t="s">
        <v>171</v>
      </c>
      <c r="AV24" t="s">
        <v>173</v>
      </c>
      <c r="AW24" t="s">
        <v>175</v>
      </c>
      <c r="AX24" t="s">
        <v>177</v>
      </c>
      <c r="AY24" t="s">
        <v>179</v>
      </c>
      <c r="AZ24" t="s">
        <v>177</v>
      </c>
      <c r="BA24" t="s">
        <v>183</v>
      </c>
      <c r="BB24" t="s">
        <v>177</v>
      </c>
      <c r="BC24" t="s">
        <v>187</v>
      </c>
      <c r="BD24" t="s">
        <v>183</v>
      </c>
      <c r="BE24" t="s">
        <v>192</v>
      </c>
      <c r="BF24" t="s">
        <v>179</v>
      </c>
      <c r="BG24" t="s">
        <v>192</v>
      </c>
      <c r="BH24" t="s">
        <v>175</v>
      </c>
      <c r="BI24" t="s">
        <v>192</v>
      </c>
      <c r="BJ24" t="s">
        <v>192</v>
      </c>
      <c r="BK24" t="s">
        <v>192</v>
      </c>
      <c r="BL24" t="s">
        <v>177</v>
      </c>
    </row>
    <row r="25" spans="1:64" x14ac:dyDescent="0.2">
      <c r="A25" t="s">
        <v>62</v>
      </c>
      <c r="B25">
        <v>706</v>
      </c>
      <c r="C25">
        <v>41547</v>
      </c>
      <c r="D25">
        <v>0.67</v>
      </c>
      <c r="E25">
        <v>18.638300000000001</v>
      </c>
      <c r="F25">
        <v>2.9</v>
      </c>
      <c r="G25">
        <v>0.39454</v>
      </c>
      <c r="H25">
        <v>4.2</v>
      </c>
      <c r="I25">
        <v>5.3357000000000002E-2</v>
      </c>
      <c r="J25">
        <v>3.1</v>
      </c>
      <c r="K25">
        <v>0.72699999999999998</v>
      </c>
      <c r="L25">
        <v>335.1</v>
      </c>
      <c r="M25">
        <v>10.1</v>
      </c>
      <c r="N25">
        <v>337.7</v>
      </c>
      <c r="O25">
        <v>12.2</v>
      </c>
      <c r="P25">
        <v>355.5</v>
      </c>
      <c r="Q25">
        <v>65.8</v>
      </c>
      <c r="R25" s="1">
        <v>335.1</v>
      </c>
      <c r="S25">
        <v>10.1</v>
      </c>
      <c r="T25">
        <v>94.3</v>
      </c>
      <c r="AS25" t="s">
        <v>399</v>
      </c>
      <c r="AT25">
        <v>275</v>
      </c>
      <c r="AU25">
        <v>112438</v>
      </c>
      <c r="AV25">
        <v>1.45</v>
      </c>
      <c r="AW25">
        <v>13.105600000000001</v>
      </c>
      <c r="AX25">
        <v>2</v>
      </c>
      <c r="AY25">
        <v>1.91638</v>
      </c>
      <c r="AZ25">
        <v>4</v>
      </c>
      <c r="BA25">
        <v>0.18223500000000001</v>
      </c>
      <c r="BB25">
        <v>3.4</v>
      </c>
      <c r="BC25">
        <v>0.85699999999999998</v>
      </c>
      <c r="BD25">
        <v>1079.2</v>
      </c>
      <c r="BE25">
        <v>33.799999999999997</v>
      </c>
      <c r="BF25">
        <v>1086.8</v>
      </c>
      <c r="BG25">
        <v>26.4</v>
      </c>
      <c r="BH25">
        <v>1102.0999999999999</v>
      </c>
      <c r="BI25">
        <v>40.799999999999997</v>
      </c>
      <c r="BJ25">
        <v>1102.0999999999999</v>
      </c>
      <c r="BK25">
        <v>40.799999999999997</v>
      </c>
      <c r="BL25">
        <v>97.9</v>
      </c>
    </row>
    <row r="26" spans="1:64" x14ac:dyDescent="0.2">
      <c r="A26" t="s">
        <v>63</v>
      </c>
      <c r="B26">
        <v>969</v>
      </c>
      <c r="C26">
        <v>81481</v>
      </c>
      <c r="D26">
        <v>0.68</v>
      </c>
      <c r="E26">
        <v>17.930900000000001</v>
      </c>
      <c r="F26">
        <v>8.6</v>
      </c>
      <c r="G26">
        <v>0.40544000000000002</v>
      </c>
      <c r="H26">
        <v>14.7</v>
      </c>
      <c r="I26">
        <v>5.2750999999999999E-2</v>
      </c>
      <c r="J26">
        <v>11.9</v>
      </c>
      <c r="K26">
        <v>0.81200000000000006</v>
      </c>
      <c r="L26">
        <v>331.4</v>
      </c>
      <c r="M26">
        <v>38.5</v>
      </c>
      <c r="N26">
        <v>345.6</v>
      </c>
      <c r="O26">
        <v>43</v>
      </c>
      <c r="P26">
        <v>442.2</v>
      </c>
      <c r="Q26">
        <v>190.5</v>
      </c>
      <c r="R26" s="1">
        <v>331.4</v>
      </c>
      <c r="S26">
        <v>38.5</v>
      </c>
      <c r="T26">
        <v>74.900000000000006</v>
      </c>
      <c r="AS26" t="s">
        <v>400</v>
      </c>
      <c r="AT26">
        <v>1232</v>
      </c>
      <c r="AU26">
        <v>53116</v>
      </c>
      <c r="AV26">
        <v>5.24</v>
      </c>
      <c r="AW26">
        <v>17.177099999999999</v>
      </c>
      <c r="AX26">
        <v>2.6</v>
      </c>
      <c r="AY26">
        <v>0.72467000000000004</v>
      </c>
      <c r="AZ26">
        <v>3.7</v>
      </c>
      <c r="BA26">
        <v>9.0319999999999998E-2</v>
      </c>
      <c r="BB26">
        <v>2.7</v>
      </c>
      <c r="BC26">
        <v>0.71499999999999997</v>
      </c>
      <c r="BD26">
        <v>557.4</v>
      </c>
      <c r="BE26">
        <v>14.2</v>
      </c>
      <c r="BF26">
        <v>553.4</v>
      </c>
      <c r="BG26">
        <v>15.9</v>
      </c>
      <c r="BH26">
        <v>537</v>
      </c>
      <c r="BI26">
        <v>57</v>
      </c>
      <c r="BJ26">
        <v>557.4</v>
      </c>
      <c r="BK26">
        <v>14.2</v>
      </c>
      <c r="BL26">
        <v>103.8</v>
      </c>
    </row>
    <row r="27" spans="1:64" x14ac:dyDescent="0.2">
      <c r="A27" t="s">
        <v>64</v>
      </c>
      <c r="B27">
        <v>1311</v>
      </c>
      <c r="C27">
        <v>13359</v>
      </c>
      <c r="D27">
        <v>0.66</v>
      </c>
      <c r="E27">
        <v>18.148199999999999</v>
      </c>
      <c r="F27">
        <v>3.8</v>
      </c>
      <c r="G27">
        <v>0.40128999999999998</v>
      </c>
      <c r="H27">
        <v>4.5999999999999996</v>
      </c>
      <c r="I27">
        <v>5.2843000000000001E-2</v>
      </c>
      <c r="J27">
        <v>2.6</v>
      </c>
      <c r="K27">
        <v>0.55800000000000005</v>
      </c>
      <c r="L27">
        <v>332</v>
      </c>
      <c r="M27">
        <v>8.3000000000000007</v>
      </c>
      <c r="N27">
        <v>342.6</v>
      </c>
      <c r="O27">
        <v>13.4</v>
      </c>
      <c r="P27">
        <v>415.3</v>
      </c>
      <c r="Q27">
        <v>85.3</v>
      </c>
      <c r="R27" s="1">
        <v>332</v>
      </c>
      <c r="S27">
        <v>8.3000000000000007</v>
      </c>
      <c r="T27">
        <v>79.900000000000006</v>
      </c>
      <c r="AS27" t="s">
        <v>401</v>
      </c>
      <c r="AT27">
        <v>332</v>
      </c>
      <c r="AU27">
        <v>10153</v>
      </c>
      <c r="AV27">
        <v>1.37</v>
      </c>
      <c r="AW27">
        <v>18.368099999999998</v>
      </c>
      <c r="AX27">
        <v>5</v>
      </c>
      <c r="AY27">
        <v>0.49187999999999998</v>
      </c>
      <c r="AZ27">
        <v>6.2</v>
      </c>
      <c r="BA27">
        <v>6.5557000000000004E-2</v>
      </c>
      <c r="BB27">
        <v>3.6</v>
      </c>
      <c r="BC27">
        <v>0.58799999999999997</v>
      </c>
      <c r="BD27">
        <v>409.3</v>
      </c>
      <c r="BE27">
        <v>14.4</v>
      </c>
      <c r="BF27">
        <v>406.2</v>
      </c>
      <c r="BG27">
        <v>20.6</v>
      </c>
      <c r="BH27">
        <v>388.4</v>
      </c>
      <c r="BI27">
        <v>111.9</v>
      </c>
      <c r="BJ27">
        <v>409.3</v>
      </c>
      <c r="BK27">
        <v>14.4</v>
      </c>
      <c r="BL27">
        <v>105.4</v>
      </c>
    </row>
    <row r="28" spans="1:64" x14ac:dyDescent="0.2">
      <c r="A28" t="s">
        <v>65</v>
      </c>
      <c r="B28">
        <v>696</v>
      </c>
      <c r="C28">
        <v>60834</v>
      </c>
      <c r="D28">
        <v>10.52</v>
      </c>
      <c r="E28">
        <v>18.792999999999999</v>
      </c>
      <c r="F28">
        <v>3</v>
      </c>
      <c r="G28">
        <v>0.39667999999999998</v>
      </c>
      <c r="H28">
        <v>4.0999999999999996</v>
      </c>
      <c r="I28">
        <v>5.4091E-2</v>
      </c>
      <c r="J28">
        <v>2.8</v>
      </c>
      <c r="K28">
        <v>0.67400000000000004</v>
      </c>
      <c r="L28">
        <v>339.6</v>
      </c>
      <c r="M28">
        <v>9.1999999999999993</v>
      </c>
      <c r="N28">
        <v>339.2</v>
      </c>
      <c r="O28">
        <v>11.9</v>
      </c>
      <c r="P28">
        <v>336.8</v>
      </c>
      <c r="Q28">
        <v>69.099999999999994</v>
      </c>
      <c r="R28" s="1">
        <v>339.6</v>
      </c>
      <c r="S28">
        <v>9.1999999999999993</v>
      </c>
      <c r="T28">
        <v>100.8</v>
      </c>
      <c r="AS28" t="s">
        <v>402</v>
      </c>
      <c r="AT28">
        <v>287</v>
      </c>
      <c r="AU28">
        <v>16229</v>
      </c>
      <c r="AV28">
        <v>1.71</v>
      </c>
      <c r="AW28">
        <v>13.173999999999999</v>
      </c>
      <c r="AX28">
        <v>3.1</v>
      </c>
      <c r="AY28">
        <v>1.99173</v>
      </c>
      <c r="AZ28">
        <v>5.3</v>
      </c>
      <c r="BA28">
        <v>0.19039</v>
      </c>
      <c r="BB28">
        <v>4.3</v>
      </c>
      <c r="BC28">
        <v>0.81599999999999995</v>
      </c>
      <c r="BD28">
        <v>1123.5</v>
      </c>
      <c r="BE28">
        <v>44.5</v>
      </c>
      <c r="BF28">
        <v>1112.7</v>
      </c>
      <c r="BG28">
        <v>35.799999999999997</v>
      </c>
      <c r="BH28">
        <v>1091.7</v>
      </c>
      <c r="BI28">
        <v>61.2</v>
      </c>
      <c r="BJ28">
        <v>1091.7</v>
      </c>
      <c r="BK28">
        <v>61.2</v>
      </c>
      <c r="BL28">
        <v>102.9</v>
      </c>
    </row>
    <row r="29" spans="1:64" x14ac:dyDescent="0.2">
      <c r="A29" t="s">
        <v>66</v>
      </c>
      <c r="B29">
        <v>1853</v>
      </c>
      <c r="C29">
        <v>21510</v>
      </c>
      <c r="D29">
        <v>0.73</v>
      </c>
      <c r="E29">
        <v>16.956800000000001</v>
      </c>
      <c r="F29">
        <v>5.3</v>
      </c>
      <c r="G29">
        <v>0.42518</v>
      </c>
      <c r="H29">
        <v>6.6</v>
      </c>
      <c r="I29">
        <v>5.2312999999999998E-2</v>
      </c>
      <c r="J29">
        <v>4</v>
      </c>
      <c r="K29">
        <v>0.60199999999999998</v>
      </c>
      <c r="L29">
        <v>328.7</v>
      </c>
      <c r="M29">
        <v>12.8</v>
      </c>
      <c r="N29">
        <v>359.7</v>
      </c>
      <c r="O29">
        <v>20.100000000000001</v>
      </c>
      <c r="P29">
        <v>565.20000000000005</v>
      </c>
      <c r="Q29">
        <v>115.4</v>
      </c>
      <c r="R29" s="1">
        <v>328.7</v>
      </c>
      <c r="S29">
        <v>12.8</v>
      </c>
      <c r="T29">
        <v>58.2</v>
      </c>
      <c r="AS29" t="s">
        <v>403</v>
      </c>
      <c r="AT29">
        <v>1079</v>
      </c>
      <c r="AU29">
        <v>65283</v>
      </c>
      <c r="AV29">
        <v>5.1100000000000003</v>
      </c>
      <c r="AW29">
        <v>16.937000000000001</v>
      </c>
      <c r="AX29">
        <v>2.5</v>
      </c>
      <c r="AY29">
        <v>0.73465000000000003</v>
      </c>
      <c r="AZ29">
        <v>3.6</v>
      </c>
      <c r="BA29">
        <v>9.0284000000000003E-2</v>
      </c>
      <c r="BB29">
        <v>2.6</v>
      </c>
      <c r="BC29">
        <v>0.72099999999999997</v>
      </c>
      <c r="BD29">
        <v>557.20000000000005</v>
      </c>
      <c r="BE29">
        <v>13.7</v>
      </c>
      <c r="BF29">
        <v>559.29999999999995</v>
      </c>
      <c r="BG29">
        <v>15.3</v>
      </c>
      <c r="BH29">
        <v>567.70000000000005</v>
      </c>
      <c r="BI29">
        <v>53.7</v>
      </c>
      <c r="BJ29">
        <v>557.20000000000005</v>
      </c>
      <c r="BK29">
        <v>13.7</v>
      </c>
      <c r="BL29">
        <v>98.2</v>
      </c>
    </row>
    <row r="30" spans="1:64" x14ac:dyDescent="0.2">
      <c r="A30" t="s">
        <v>67</v>
      </c>
      <c r="B30">
        <v>1624</v>
      </c>
      <c r="C30">
        <v>10266</v>
      </c>
      <c r="D30">
        <v>0.56000000000000005</v>
      </c>
      <c r="E30">
        <v>16.009499999999999</v>
      </c>
      <c r="F30">
        <v>12.8</v>
      </c>
      <c r="G30">
        <v>0.46507999999999999</v>
      </c>
      <c r="H30">
        <v>13.1</v>
      </c>
      <c r="I30">
        <v>5.4025999999999998E-2</v>
      </c>
      <c r="J30">
        <v>2.7</v>
      </c>
      <c r="K30">
        <v>0.20300000000000001</v>
      </c>
      <c r="L30">
        <v>339.2</v>
      </c>
      <c r="M30">
        <v>8.8000000000000007</v>
      </c>
      <c r="N30">
        <v>387.8</v>
      </c>
      <c r="O30">
        <v>42.1</v>
      </c>
      <c r="P30">
        <v>689.1</v>
      </c>
      <c r="Q30">
        <v>272.89999999999998</v>
      </c>
      <c r="R30" s="1">
        <v>339.2</v>
      </c>
      <c r="S30">
        <v>8.8000000000000007</v>
      </c>
      <c r="T30">
        <v>49.2</v>
      </c>
      <c r="AS30" t="s">
        <v>404</v>
      </c>
      <c r="AT30">
        <v>258</v>
      </c>
      <c r="AU30">
        <v>23824</v>
      </c>
      <c r="AV30">
        <v>1.59</v>
      </c>
      <c r="AW30">
        <v>13.2796</v>
      </c>
      <c r="AX30">
        <v>2.2999999999999998</v>
      </c>
      <c r="AY30">
        <v>1.96922</v>
      </c>
      <c r="AZ30">
        <v>4.3</v>
      </c>
      <c r="BA30">
        <v>0.189746</v>
      </c>
      <c r="BB30">
        <v>3.7</v>
      </c>
      <c r="BC30">
        <v>0.84799999999999998</v>
      </c>
      <c r="BD30">
        <v>1120</v>
      </c>
      <c r="BE30">
        <v>37.9</v>
      </c>
      <c r="BF30">
        <v>1105</v>
      </c>
      <c r="BG30">
        <v>29.3</v>
      </c>
      <c r="BH30">
        <v>1075.7</v>
      </c>
      <c r="BI30">
        <v>46.2</v>
      </c>
      <c r="BJ30">
        <v>1075.7</v>
      </c>
      <c r="BK30">
        <v>46.2</v>
      </c>
      <c r="BL30">
        <v>104.1</v>
      </c>
    </row>
    <row r="31" spans="1:64" x14ac:dyDescent="0.2">
      <c r="A31" t="s">
        <v>68</v>
      </c>
      <c r="B31">
        <v>1122</v>
      </c>
      <c r="C31">
        <v>24349</v>
      </c>
      <c r="D31">
        <v>0.62</v>
      </c>
      <c r="E31">
        <v>19.000299999999999</v>
      </c>
      <c r="F31">
        <v>2.7</v>
      </c>
      <c r="G31">
        <v>0.38429999999999997</v>
      </c>
      <c r="H31">
        <v>3.5</v>
      </c>
      <c r="I31">
        <v>5.2982000000000001E-2</v>
      </c>
      <c r="J31">
        <v>2.2999999999999998</v>
      </c>
      <c r="K31">
        <v>0.65100000000000002</v>
      </c>
      <c r="L31">
        <v>332.8</v>
      </c>
      <c r="M31">
        <v>7.5</v>
      </c>
      <c r="N31">
        <v>330.2</v>
      </c>
      <c r="O31">
        <v>10</v>
      </c>
      <c r="P31">
        <v>311.89999999999998</v>
      </c>
      <c r="Q31">
        <v>61.3</v>
      </c>
      <c r="R31" s="1">
        <v>332.8</v>
      </c>
      <c r="S31">
        <v>7.5</v>
      </c>
      <c r="T31">
        <v>106.7</v>
      </c>
      <c r="AS31" t="s">
        <v>405</v>
      </c>
      <c r="AT31">
        <v>901</v>
      </c>
      <c r="AU31">
        <v>66698</v>
      </c>
      <c r="AV31">
        <v>1.24</v>
      </c>
      <c r="AW31">
        <v>13.1852</v>
      </c>
      <c r="AX31">
        <v>1.8</v>
      </c>
      <c r="AY31">
        <v>1.9408099999999999</v>
      </c>
      <c r="AZ31">
        <v>3.1</v>
      </c>
      <c r="BA31">
        <v>0.18568000000000001</v>
      </c>
      <c r="BB31">
        <v>2.6</v>
      </c>
      <c r="BC31">
        <v>0.82299999999999995</v>
      </c>
      <c r="BD31">
        <v>1097.9000000000001</v>
      </c>
      <c r="BE31">
        <v>25.8</v>
      </c>
      <c r="BF31">
        <v>1095.3</v>
      </c>
      <c r="BG31">
        <v>20.8</v>
      </c>
      <c r="BH31">
        <v>1090</v>
      </c>
      <c r="BI31">
        <v>35.4</v>
      </c>
      <c r="BJ31">
        <v>1090</v>
      </c>
      <c r="BK31">
        <v>35.4</v>
      </c>
      <c r="BL31">
        <v>100.7</v>
      </c>
    </row>
    <row r="32" spans="1:64" x14ac:dyDescent="0.2">
      <c r="A32" t="s">
        <v>69</v>
      </c>
      <c r="B32">
        <v>887</v>
      </c>
      <c r="C32">
        <v>175720</v>
      </c>
      <c r="D32">
        <v>0.55000000000000004</v>
      </c>
      <c r="E32">
        <v>18.5258</v>
      </c>
      <c r="F32">
        <v>2.4</v>
      </c>
      <c r="G32">
        <v>0.39990999999999999</v>
      </c>
      <c r="H32">
        <v>3.2</v>
      </c>
      <c r="I32">
        <v>5.3756999999999999E-2</v>
      </c>
      <c r="J32">
        <v>2.1</v>
      </c>
      <c r="K32">
        <v>0.65300000000000002</v>
      </c>
      <c r="L32">
        <v>337.5</v>
      </c>
      <c r="M32">
        <v>6.9</v>
      </c>
      <c r="N32">
        <v>341.6</v>
      </c>
      <c r="O32">
        <v>9.3000000000000007</v>
      </c>
      <c r="P32">
        <v>369.1</v>
      </c>
      <c r="Q32">
        <v>55</v>
      </c>
      <c r="R32" s="1">
        <v>337.5</v>
      </c>
      <c r="S32">
        <v>6.9</v>
      </c>
      <c r="T32">
        <v>91.4</v>
      </c>
      <c r="AS32" t="s">
        <v>406</v>
      </c>
      <c r="AT32">
        <v>1245</v>
      </c>
      <c r="AU32">
        <v>155915</v>
      </c>
      <c r="AV32">
        <v>5.22</v>
      </c>
      <c r="AW32">
        <v>16.854399999999998</v>
      </c>
      <c r="AX32">
        <v>2.1</v>
      </c>
      <c r="AY32">
        <v>0.73123000000000005</v>
      </c>
      <c r="AZ32">
        <v>3.4</v>
      </c>
      <c r="BA32">
        <v>8.9425000000000004E-2</v>
      </c>
      <c r="BB32">
        <v>2.7</v>
      </c>
      <c r="BC32">
        <v>0.78200000000000003</v>
      </c>
      <c r="BD32">
        <v>552.1</v>
      </c>
      <c r="BE32">
        <v>14.3</v>
      </c>
      <c r="BF32">
        <v>557.29999999999995</v>
      </c>
      <c r="BG32">
        <v>14.8</v>
      </c>
      <c r="BH32">
        <v>578.29999999999995</v>
      </c>
      <c r="BI32">
        <v>46.6</v>
      </c>
      <c r="BJ32">
        <v>552.1</v>
      </c>
      <c r="BK32">
        <v>14.3</v>
      </c>
      <c r="BL32">
        <v>95.5</v>
      </c>
    </row>
    <row r="33" spans="1:64" x14ac:dyDescent="0.2">
      <c r="A33" t="s">
        <v>70</v>
      </c>
      <c r="B33">
        <v>240</v>
      </c>
      <c r="C33">
        <v>4755</v>
      </c>
      <c r="D33">
        <v>1.1599999999999999</v>
      </c>
      <c r="E33">
        <v>16.759599999999999</v>
      </c>
      <c r="F33">
        <v>9.5</v>
      </c>
      <c r="G33">
        <v>0.42903999999999998</v>
      </c>
      <c r="H33">
        <v>10.6</v>
      </c>
      <c r="I33">
        <v>5.2173999999999998E-2</v>
      </c>
      <c r="J33">
        <v>4.7</v>
      </c>
      <c r="K33">
        <v>0.442</v>
      </c>
      <c r="L33">
        <v>327.9</v>
      </c>
      <c r="M33">
        <v>15</v>
      </c>
      <c r="N33">
        <v>362.5</v>
      </c>
      <c r="O33">
        <v>32.299999999999997</v>
      </c>
      <c r="P33">
        <v>590.6</v>
      </c>
      <c r="Q33">
        <v>206.4</v>
      </c>
      <c r="R33" s="1">
        <v>327.9</v>
      </c>
      <c r="S33">
        <v>15</v>
      </c>
      <c r="T33">
        <v>55.5</v>
      </c>
      <c r="AS33" t="s">
        <v>407</v>
      </c>
      <c r="AT33">
        <v>219</v>
      </c>
      <c r="AU33">
        <v>68135</v>
      </c>
      <c r="AV33">
        <v>18.61</v>
      </c>
      <c r="AW33">
        <v>13.137600000000001</v>
      </c>
      <c r="AX33">
        <v>2.1</v>
      </c>
      <c r="AY33">
        <v>1.9941899999999999</v>
      </c>
      <c r="AZ33">
        <v>5.2</v>
      </c>
      <c r="BA33">
        <v>0.19009699999999999</v>
      </c>
      <c r="BB33">
        <v>4.7</v>
      </c>
      <c r="BC33">
        <v>0.91300000000000003</v>
      </c>
      <c r="BD33">
        <v>1121.9000000000001</v>
      </c>
      <c r="BE33">
        <v>48.5</v>
      </c>
      <c r="BF33">
        <v>1113.5</v>
      </c>
      <c r="BG33">
        <v>34.9</v>
      </c>
      <c r="BH33">
        <v>1097.3</v>
      </c>
      <c r="BI33">
        <v>42.2</v>
      </c>
      <c r="BJ33">
        <v>1097.3</v>
      </c>
      <c r="BK33">
        <v>42.2</v>
      </c>
      <c r="BL33">
        <v>102.2</v>
      </c>
    </row>
    <row r="34" spans="1:64" x14ac:dyDescent="0.2">
      <c r="A34" t="s">
        <v>71</v>
      </c>
      <c r="B34">
        <v>1059</v>
      </c>
      <c r="C34">
        <v>196714</v>
      </c>
      <c r="D34">
        <v>0.66</v>
      </c>
      <c r="E34">
        <v>18.340199999999999</v>
      </c>
      <c r="F34">
        <v>2.6</v>
      </c>
      <c r="G34">
        <v>0.40095999999999998</v>
      </c>
      <c r="H34">
        <v>4.5</v>
      </c>
      <c r="I34">
        <v>5.3358000000000003E-2</v>
      </c>
      <c r="J34">
        <v>3.6</v>
      </c>
      <c r="K34">
        <v>0.81</v>
      </c>
      <c r="L34">
        <v>335.1</v>
      </c>
      <c r="M34">
        <v>11.8</v>
      </c>
      <c r="N34">
        <v>342.3</v>
      </c>
      <c r="O34">
        <v>13</v>
      </c>
      <c r="P34">
        <v>391.8</v>
      </c>
      <c r="Q34">
        <v>58.8</v>
      </c>
      <c r="R34" s="1">
        <v>335.1</v>
      </c>
      <c r="S34">
        <v>11.8</v>
      </c>
      <c r="T34">
        <v>85.5</v>
      </c>
      <c r="AS34" t="s">
        <v>408</v>
      </c>
      <c r="AT34">
        <v>1352</v>
      </c>
      <c r="AU34">
        <v>100488</v>
      </c>
      <c r="AV34">
        <v>5.08</v>
      </c>
      <c r="AW34">
        <v>16.973299999999998</v>
      </c>
      <c r="AX34">
        <v>1.7</v>
      </c>
      <c r="AY34">
        <v>0.73346999999999996</v>
      </c>
      <c r="AZ34">
        <v>2.8</v>
      </c>
      <c r="BA34">
        <v>9.0331999999999996E-2</v>
      </c>
      <c r="BB34">
        <v>2.2000000000000002</v>
      </c>
      <c r="BC34">
        <v>0.80500000000000005</v>
      </c>
      <c r="BD34">
        <v>557.5</v>
      </c>
      <c r="BE34">
        <v>12</v>
      </c>
      <c r="BF34">
        <v>558.6</v>
      </c>
      <c r="BG34">
        <v>12</v>
      </c>
      <c r="BH34">
        <v>563</v>
      </c>
      <c r="BI34">
        <v>36.1</v>
      </c>
      <c r="BJ34">
        <v>557.5</v>
      </c>
      <c r="BK34">
        <v>12</v>
      </c>
      <c r="BL34">
        <v>99</v>
      </c>
    </row>
    <row r="35" spans="1:64" x14ac:dyDescent="0.2">
      <c r="A35" t="s">
        <v>72</v>
      </c>
      <c r="B35">
        <v>1807</v>
      </c>
      <c r="C35">
        <v>75829</v>
      </c>
      <c r="D35">
        <v>0.51</v>
      </c>
      <c r="E35">
        <v>18.758500000000002</v>
      </c>
      <c r="F35">
        <v>2.2000000000000002</v>
      </c>
      <c r="G35">
        <v>0.38566</v>
      </c>
      <c r="H35">
        <v>3.6</v>
      </c>
      <c r="I35">
        <v>5.2492999999999998E-2</v>
      </c>
      <c r="J35">
        <v>2.9</v>
      </c>
      <c r="K35">
        <v>0.79800000000000004</v>
      </c>
      <c r="L35">
        <v>329.8</v>
      </c>
      <c r="M35">
        <v>9.1999999999999993</v>
      </c>
      <c r="N35">
        <v>331.2</v>
      </c>
      <c r="O35">
        <v>10.1</v>
      </c>
      <c r="P35">
        <v>341</v>
      </c>
      <c r="Q35">
        <v>49</v>
      </c>
      <c r="R35" s="1">
        <v>329.8</v>
      </c>
      <c r="S35">
        <v>9.1999999999999993</v>
      </c>
      <c r="T35">
        <v>96.7</v>
      </c>
      <c r="AS35" t="s">
        <v>409</v>
      </c>
      <c r="AT35">
        <v>1234</v>
      </c>
      <c r="AU35">
        <v>87173</v>
      </c>
      <c r="AV35">
        <v>1.64</v>
      </c>
      <c r="AW35">
        <v>13.089</v>
      </c>
      <c r="AX35">
        <v>2</v>
      </c>
      <c r="AY35">
        <v>1.97661</v>
      </c>
      <c r="AZ35">
        <v>3.1</v>
      </c>
      <c r="BA35">
        <v>0.187724</v>
      </c>
      <c r="BB35">
        <v>2.4</v>
      </c>
      <c r="BC35">
        <v>0.78100000000000003</v>
      </c>
      <c r="BD35">
        <v>1109</v>
      </c>
      <c r="BE35">
        <v>24.9</v>
      </c>
      <c r="BF35">
        <v>1107.5999999999999</v>
      </c>
      <c r="BG35">
        <v>21.1</v>
      </c>
      <c r="BH35">
        <v>1104.7</v>
      </c>
      <c r="BI35">
        <v>39.1</v>
      </c>
      <c r="BJ35">
        <v>1104.7</v>
      </c>
      <c r="BK35">
        <v>39.1</v>
      </c>
      <c r="BL35">
        <v>100.4</v>
      </c>
    </row>
    <row r="36" spans="1:64" x14ac:dyDescent="0.2">
      <c r="A36" t="s">
        <v>73</v>
      </c>
      <c r="B36">
        <v>1357</v>
      </c>
      <c r="C36">
        <v>501793</v>
      </c>
      <c r="D36">
        <v>0.59</v>
      </c>
      <c r="E36">
        <v>18.579899999999999</v>
      </c>
      <c r="F36">
        <v>2</v>
      </c>
      <c r="G36">
        <v>0.39821000000000001</v>
      </c>
      <c r="H36">
        <v>3.3</v>
      </c>
      <c r="I36">
        <v>5.3684000000000003E-2</v>
      </c>
      <c r="J36">
        <v>2.6</v>
      </c>
      <c r="K36">
        <v>0.79800000000000004</v>
      </c>
      <c r="L36">
        <v>337.1</v>
      </c>
      <c r="M36">
        <v>8.6999999999999993</v>
      </c>
      <c r="N36">
        <v>340.3</v>
      </c>
      <c r="O36">
        <v>9.6</v>
      </c>
      <c r="P36">
        <v>362.6</v>
      </c>
      <c r="Q36">
        <v>45</v>
      </c>
      <c r="R36" s="1">
        <v>337.1</v>
      </c>
      <c r="S36">
        <v>8.6999999999999993</v>
      </c>
      <c r="T36">
        <v>93</v>
      </c>
      <c r="AS36" t="s">
        <v>410</v>
      </c>
      <c r="AT36">
        <v>1401</v>
      </c>
      <c r="AU36">
        <v>79071</v>
      </c>
      <c r="AV36">
        <v>5.04</v>
      </c>
      <c r="AW36">
        <v>16.96</v>
      </c>
      <c r="AX36">
        <v>1.7</v>
      </c>
      <c r="AY36">
        <v>0.72958000000000001</v>
      </c>
      <c r="AZ36">
        <v>2.8</v>
      </c>
      <c r="BA36">
        <v>8.9783000000000002E-2</v>
      </c>
      <c r="BB36">
        <v>2.2000000000000002</v>
      </c>
      <c r="BC36">
        <v>0.78300000000000003</v>
      </c>
      <c r="BD36">
        <v>554.29999999999995</v>
      </c>
      <c r="BE36">
        <v>11.7</v>
      </c>
      <c r="BF36">
        <v>556.29999999999995</v>
      </c>
      <c r="BG36">
        <v>12</v>
      </c>
      <c r="BH36">
        <v>564.70000000000005</v>
      </c>
      <c r="BI36">
        <v>38</v>
      </c>
      <c r="BJ36">
        <v>554.29999999999995</v>
      </c>
      <c r="BK36">
        <v>11.7</v>
      </c>
      <c r="BL36">
        <v>98.2</v>
      </c>
    </row>
    <row r="37" spans="1:64" x14ac:dyDescent="0.2">
      <c r="A37" t="s">
        <v>74</v>
      </c>
      <c r="B37">
        <v>850</v>
      </c>
      <c r="C37">
        <v>29432</v>
      </c>
      <c r="D37">
        <v>0.6</v>
      </c>
      <c r="E37">
        <v>18.116800000000001</v>
      </c>
      <c r="F37">
        <v>3.2</v>
      </c>
      <c r="G37">
        <v>0.39573999999999998</v>
      </c>
      <c r="H37">
        <v>4.4000000000000004</v>
      </c>
      <c r="I37">
        <v>5.2021999999999999E-2</v>
      </c>
      <c r="J37">
        <v>3.1</v>
      </c>
      <c r="K37">
        <v>0.70299999999999996</v>
      </c>
      <c r="L37">
        <v>326.89999999999998</v>
      </c>
      <c r="M37">
        <v>10</v>
      </c>
      <c r="N37">
        <v>338.6</v>
      </c>
      <c r="O37">
        <v>12.8</v>
      </c>
      <c r="P37">
        <v>419.2</v>
      </c>
      <c r="Q37">
        <v>70.7</v>
      </c>
      <c r="R37" s="1">
        <v>326.89999999999998</v>
      </c>
      <c r="S37">
        <v>10</v>
      </c>
      <c r="T37">
        <v>78</v>
      </c>
      <c r="AS37" t="s">
        <v>411</v>
      </c>
      <c r="AT37">
        <v>204</v>
      </c>
      <c r="AU37">
        <v>6051</v>
      </c>
      <c r="AV37">
        <v>1.36</v>
      </c>
      <c r="AW37">
        <v>18.3355</v>
      </c>
      <c r="AX37">
        <v>8</v>
      </c>
      <c r="AY37">
        <v>0.48830000000000001</v>
      </c>
      <c r="AZ37">
        <v>9</v>
      </c>
      <c r="BA37">
        <v>6.4963999999999994E-2</v>
      </c>
      <c r="BB37">
        <v>4.3</v>
      </c>
      <c r="BC37">
        <v>0.47299999999999998</v>
      </c>
      <c r="BD37">
        <v>405.7</v>
      </c>
      <c r="BE37">
        <v>16.8</v>
      </c>
      <c r="BF37">
        <v>403.7</v>
      </c>
      <c r="BG37">
        <v>30.1</v>
      </c>
      <c r="BH37">
        <v>392.3</v>
      </c>
      <c r="BI37">
        <v>178.7</v>
      </c>
      <c r="BJ37">
        <v>405.7</v>
      </c>
      <c r="BK37">
        <v>16.8</v>
      </c>
      <c r="BL37">
        <v>103.4</v>
      </c>
    </row>
    <row r="38" spans="1:64" x14ac:dyDescent="0.2">
      <c r="A38" t="s">
        <v>75</v>
      </c>
      <c r="B38">
        <v>3042</v>
      </c>
      <c r="C38">
        <v>43830</v>
      </c>
      <c r="D38">
        <v>0.42</v>
      </c>
      <c r="E38">
        <v>18.784500000000001</v>
      </c>
      <c r="F38">
        <v>2.2000000000000002</v>
      </c>
      <c r="G38">
        <v>0.38884000000000002</v>
      </c>
      <c r="H38">
        <v>3.1</v>
      </c>
      <c r="I38">
        <v>5.2998999999999998E-2</v>
      </c>
      <c r="J38">
        <v>2.2999999999999998</v>
      </c>
      <c r="K38">
        <v>0.71599999999999997</v>
      </c>
      <c r="L38">
        <v>332.9</v>
      </c>
      <c r="M38">
        <v>7.3</v>
      </c>
      <c r="N38">
        <v>333.5</v>
      </c>
      <c r="O38">
        <v>9</v>
      </c>
      <c r="P38">
        <v>337.8</v>
      </c>
      <c r="Q38">
        <v>49.8</v>
      </c>
      <c r="R38" s="1">
        <v>332.9</v>
      </c>
      <c r="S38">
        <v>7.3</v>
      </c>
      <c r="T38">
        <v>98.5</v>
      </c>
      <c r="AS38" t="s">
        <v>412</v>
      </c>
      <c r="AT38">
        <v>276</v>
      </c>
      <c r="AU38">
        <v>35028</v>
      </c>
      <c r="AV38">
        <v>2.15</v>
      </c>
      <c r="AW38">
        <v>13.2806</v>
      </c>
      <c r="AX38">
        <v>2.2999999999999998</v>
      </c>
      <c r="AY38">
        <v>1.92889</v>
      </c>
      <c r="AZ38">
        <v>4.0999999999999996</v>
      </c>
      <c r="BA38">
        <v>0.18587400000000001</v>
      </c>
      <c r="BB38">
        <v>3.4</v>
      </c>
      <c r="BC38">
        <v>0.82899999999999996</v>
      </c>
      <c r="BD38">
        <v>1099</v>
      </c>
      <c r="BE38">
        <v>34.700000000000003</v>
      </c>
      <c r="BF38">
        <v>1091.2</v>
      </c>
      <c r="BG38">
        <v>27.7</v>
      </c>
      <c r="BH38">
        <v>1075.5999999999999</v>
      </c>
      <c r="BI38">
        <v>46.5</v>
      </c>
      <c r="BJ38">
        <v>1075.5999999999999</v>
      </c>
      <c r="BK38">
        <v>46.5</v>
      </c>
      <c r="BL38">
        <v>102.2</v>
      </c>
    </row>
    <row r="39" spans="1:64" x14ac:dyDescent="0.2">
      <c r="A39" t="s">
        <v>76</v>
      </c>
      <c r="B39">
        <v>1426</v>
      </c>
      <c r="C39">
        <v>19601</v>
      </c>
      <c r="D39">
        <v>0.56000000000000005</v>
      </c>
      <c r="E39">
        <v>17.558199999999999</v>
      </c>
      <c r="F39">
        <v>4.5</v>
      </c>
      <c r="G39">
        <v>0.40781000000000001</v>
      </c>
      <c r="H39">
        <v>5.0999999999999996</v>
      </c>
      <c r="I39">
        <v>5.1956000000000002E-2</v>
      </c>
      <c r="J39">
        <v>2.4</v>
      </c>
      <c r="K39">
        <v>0.47399999999999998</v>
      </c>
      <c r="L39">
        <v>326.5</v>
      </c>
      <c r="M39">
        <v>7.8</v>
      </c>
      <c r="N39">
        <v>347.3</v>
      </c>
      <c r="O39">
        <v>15.1</v>
      </c>
      <c r="P39">
        <v>488.7</v>
      </c>
      <c r="Q39">
        <v>99.7</v>
      </c>
      <c r="R39" s="1">
        <v>326.5</v>
      </c>
      <c r="S39">
        <v>7.8</v>
      </c>
      <c r="T39">
        <v>66.8</v>
      </c>
      <c r="AS39" t="s">
        <v>413</v>
      </c>
      <c r="AT39">
        <v>1237</v>
      </c>
      <c r="AU39">
        <v>48511</v>
      </c>
      <c r="AV39">
        <v>5.33</v>
      </c>
      <c r="AW39">
        <v>16.950500000000002</v>
      </c>
      <c r="AX39">
        <v>1.8</v>
      </c>
      <c r="AY39">
        <v>0.73124999999999996</v>
      </c>
      <c r="AZ39">
        <v>2.8</v>
      </c>
      <c r="BA39">
        <v>8.9938000000000004E-2</v>
      </c>
      <c r="BB39">
        <v>2.1</v>
      </c>
      <c r="BC39">
        <v>0.76100000000000001</v>
      </c>
      <c r="BD39">
        <v>555.20000000000005</v>
      </c>
      <c r="BE39">
        <v>11.4</v>
      </c>
      <c r="BF39">
        <v>557.29999999999995</v>
      </c>
      <c r="BG39">
        <v>12.1</v>
      </c>
      <c r="BH39">
        <v>566</v>
      </c>
      <c r="BI39">
        <v>39.799999999999997</v>
      </c>
      <c r="BJ39">
        <v>555.20000000000005</v>
      </c>
      <c r="BK39">
        <v>11.4</v>
      </c>
      <c r="BL39">
        <v>98.1</v>
      </c>
    </row>
    <row r="40" spans="1:64" x14ac:dyDescent="0.2">
      <c r="A40" t="s">
        <v>77</v>
      </c>
      <c r="B40">
        <v>1081</v>
      </c>
      <c r="C40">
        <v>21291</v>
      </c>
      <c r="D40">
        <v>0.53</v>
      </c>
      <c r="E40">
        <v>18.708100000000002</v>
      </c>
      <c r="F40">
        <v>2.9</v>
      </c>
      <c r="G40">
        <v>0.39710000000000001</v>
      </c>
      <c r="H40">
        <v>4.0999999999999996</v>
      </c>
      <c r="I40">
        <v>5.3904000000000001E-2</v>
      </c>
      <c r="J40">
        <v>2.8</v>
      </c>
      <c r="K40">
        <v>0.69499999999999995</v>
      </c>
      <c r="L40">
        <v>338.4</v>
      </c>
      <c r="M40">
        <v>9.4</v>
      </c>
      <c r="N40">
        <v>339.5</v>
      </c>
      <c r="O40">
        <v>11.8</v>
      </c>
      <c r="P40">
        <v>347.1</v>
      </c>
      <c r="Q40">
        <v>66.3</v>
      </c>
      <c r="R40" s="1">
        <v>338.4</v>
      </c>
      <c r="S40">
        <v>9.4</v>
      </c>
      <c r="T40">
        <v>97.5</v>
      </c>
      <c r="AS40" t="s">
        <v>414</v>
      </c>
      <c r="AT40">
        <v>173</v>
      </c>
      <c r="AU40">
        <v>47708</v>
      </c>
      <c r="AV40">
        <v>2.4700000000000002</v>
      </c>
      <c r="AW40">
        <v>13.0212</v>
      </c>
      <c r="AX40">
        <v>3.9</v>
      </c>
      <c r="AY40">
        <v>1.9923200000000001</v>
      </c>
      <c r="AZ40">
        <v>6.1</v>
      </c>
      <c r="BA40">
        <v>0.18823599999999999</v>
      </c>
      <c r="BB40">
        <v>4.7</v>
      </c>
      <c r="BC40">
        <v>0.77300000000000002</v>
      </c>
      <c r="BD40">
        <v>1111.8</v>
      </c>
      <c r="BE40">
        <v>48.5</v>
      </c>
      <c r="BF40">
        <v>1112.9000000000001</v>
      </c>
      <c r="BG40">
        <v>41.5</v>
      </c>
      <c r="BH40">
        <v>1115.0999999999999</v>
      </c>
      <c r="BI40">
        <v>77.7</v>
      </c>
      <c r="BJ40">
        <v>1115.0999999999999</v>
      </c>
      <c r="BK40">
        <v>77.7</v>
      </c>
      <c r="BL40">
        <v>99.7</v>
      </c>
    </row>
    <row r="41" spans="1:64" x14ac:dyDescent="0.2">
      <c r="A41" t="s">
        <v>78</v>
      </c>
      <c r="B41">
        <v>1754</v>
      </c>
      <c r="C41">
        <v>12385</v>
      </c>
      <c r="D41">
        <v>0.54</v>
      </c>
      <c r="E41">
        <v>15.7437</v>
      </c>
      <c r="F41">
        <v>11.2</v>
      </c>
      <c r="G41">
        <v>0.47592000000000001</v>
      </c>
      <c r="H41">
        <v>11.6</v>
      </c>
      <c r="I41">
        <v>5.4366999999999999E-2</v>
      </c>
      <c r="J41">
        <v>3.1</v>
      </c>
      <c r="K41">
        <v>0.26500000000000001</v>
      </c>
      <c r="L41">
        <v>341.3</v>
      </c>
      <c r="M41">
        <v>10.199999999999999</v>
      </c>
      <c r="N41">
        <v>395.3</v>
      </c>
      <c r="O41">
        <v>38</v>
      </c>
      <c r="P41">
        <v>724.6</v>
      </c>
      <c r="Q41">
        <v>237.6</v>
      </c>
      <c r="R41" s="1">
        <v>341.3</v>
      </c>
      <c r="S41">
        <v>10.199999999999999</v>
      </c>
      <c r="T41">
        <v>47.1</v>
      </c>
      <c r="AS41" t="s">
        <v>415</v>
      </c>
      <c r="AT41">
        <v>1262</v>
      </c>
      <c r="AU41">
        <v>1067508</v>
      </c>
      <c r="AV41">
        <v>5.17</v>
      </c>
      <c r="AW41">
        <v>16.7498</v>
      </c>
      <c r="AX41">
        <v>1.9</v>
      </c>
      <c r="AY41">
        <v>0.73912</v>
      </c>
      <c r="AZ41">
        <v>3.5</v>
      </c>
      <c r="BA41">
        <v>8.9829000000000006E-2</v>
      </c>
      <c r="BB41">
        <v>3</v>
      </c>
      <c r="BC41">
        <v>0.84199999999999997</v>
      </c>
      <c r="BD41">
        <v>554.5</v>
      </c>
      <c r="BE41">
        <v>15.8</v>
      </c>
      <c r="BF41">
        <v>561.9</v>
      </c>
      <c r="BG41">
        <v>15.2</v>
      </c>
      <c r="BH41">
        <v>591.79999999999995</v>
      </c>
      <c r="BI41">
        <v>41.3</v>
      </c>
      <c r="BJ41">
        <v>554.5</v>
      </c>
      <c r="BK41">
        <v>15.8</v>
      </c>
      <c r="BL41">
        <v>93.7</v>
      </c>
    </row>
    <row r="42" spans="1:64" x14ac:dyDescent="0.2">
      <c r="A42" t="s">
        <v>79</v>
      </c>
      <c r="B42">
        <v>552</v>
      </c>
      <c r="C42">
        <v>34079</v>
      </c>
      <c r="D42">
        <v>0.92</v>
      </c>
      <c r="E42">
        <v>18.375900000000001</v>
      </c>
      <c r="F42">
        <v>3.3</v>
      </c>
      <c r="G42">
        <v>0.41692000000000001</v>
      </c>
      <c r="H42">
        <v>3.9</v>
      </c>
      <c r="I42">
        <v>5.5590000000000001E-2</v>
      </c>
      <c r="J42">
        <v>2.2000000000000002</v>
      </c>
      <c r="K42">
        <v>0.55000000000000004</v>
      </c>
      <c r="L42">
        <v>348.7</v>
      </c>
      <c r="M42">
        <v>7.4</v>
      </c>
      <c r="N42">
        <v>353.8</v>
      </c>
      <c r="O42">
        <v>11.8</v>
      </c>
      <c r="P42">
        <v>387.4</v>
      </c>
      <c r="Q42">
        <v>73.8</v>
      </c>
      <c r="R42" s="1">
        <v>348.7</v>
      </c>
      <c r="S42">
        <v>7.4</v>
      </c>
      <c r="T42">
        <v>90</v>
      </c>
      <c r="AS42" t="s">
        <v>416</v>
      </c>
      <c r="AT42">
        <v>414</v>
      </c>
      <c r="AU42">
        <v>51698</v>
      </c>
      <c r="AV42">
        <v>1.59</v>
      </c>
      <c r="AW42">
        <v>13.1031</v>
      </c>
      <c r="AX42">
        <v>2.2000000000000002</v>
      </c>
      <c r="AY42">
        <v>1.92672</v>
      </c>
      <c r="AZ42">
        <v>3.8</v>
      </c>
      <c r="BA42">
        <v>0.18318400000000001</v>
      </c>
      <c r="BB42">
        <v>3.1</v>
      </c>
      <c r="BC42">
        <v>0.81</v>
      </c>
      <c r="BD42">
        <v>1084.3</v>
      </c>
      <c r="BE42">
        <v>30.9</v>
      </c>
      <c r="BF42">
        <v>1090.4000000000001</v>
      </c>
      <c r="BG42">
        <v>25.6</v>
      </c>
      <c r="BH42">
        <v>1102.5</v>
      </c>
      <c r="BI42">
        <v>44.8</v>
      </c>
      <c r="BJ42">
        <v>1102.5</v>
      </c>
      <c r="BK42">
        <v>44.8</v>
      </c>
      <c r="BL42">
        <v>98.3</v>
      </c>
    </row>
    <row r="43" spans="1:64" x14ac:dyDescent="0.2">
      <c r="A43" t="s">
        <v>80</v>
      </c>
      <c r="B43">
        <v>1684</v>
      </c>
      <c r="C43">
        <v>62952</v>
      </c>
      <c r="D43">
        <v>0.63</v>
      </c>
      <c r="E43">
        <v>17.8688</v>
      </c>
      <c r="F43">
        <v>4.3</v>
      </c>
      <c r="G43">
        <v>0.41263</v>
      </c>
      <c r="H43">
        <v>4.8</v>
      </c>
      <c r="I43">
        <v>5.3498999999999998E-2</v>
      </c>
      <c r="J43">
        <v>2.2000000000000002</v>
      </c>
      <c r="K43">
        <v>0.45500000000000002</v>
      </c>
      <c r="L43">
        <v>336</v>
      </c>
      <c r="M43">
        <v>7.2</v>
      </c>
      <c r="N43">
        <v>350.8</v>
      </c>
      <c r="O43">
        <v>14.3</v>
      </c>
      <c r="P43">
        <v>449.9</v>
      </c>
      <c r="Q43">
        <v>95.5</v>
      </c>
      <c r="R43" s="1">
        <v>336</v>
      </c>
      <c r="S43">
        <v>7.2</v>
      </c>
      <c r="T43">
        <v>74.7</v>
      </c>
      <c r="AS43" t="s">
        <v>417</v>
      </c>
      <c r="AT43">
        <v>1272</v>
      </c>
      <c r="AU43">
        <v>33925</v>
      </c>
      <c r="AV43">
        <v>5.1100000000000003</v>
      </c>
      <c r="AW43">
        <v>17.2669</v>
      </c>
      <c r="AX43">
        <v>2.4</v>
      </c>
      <c r="AY43">
        <v>0.72152000000000005</v>
      </c>
      <c r="AZ43">
        <v>3.6</v>
      </c>
      <c r="BA43">
        <v>9.0398000000000006E-2</v>
      </c>
      <c r="BB43">
        <v>2.7</v>
      </c>
      <c r="BC43">
        <v>0.752</v>
      </c>
      <c r="BD43">
        <v>557.9</v>
      </c>
      <c r="BE43">
        <v>14.6</v>
      </c>
      <c r="BF43">
        <v>551.6</v>
      </c>
      <c r="BG43">
        <v>15.4</v>
      </c>
      <c r="BH43">
        <v>525.6</v>
      </c>
      <c r="BI43">
        <v>52.4</v>
      </c>
      <c r="BJ43">
        <v>557.9</v>
      </c>
      <c r="BK43">
        <v>14.6</v>
      </c>
      <c r="BL43">
        <v>106.1</v>
      </c>
    </row>
    <row r="44" spans="1:64" x14ac:dyDescent="0.2">
      <c r="A44" t="s">
        <v>81</v>
      </c>
      <c r="B44">
        <v>1151</v>
      </c>
      <c r="C44">
        <v>466697</v>
      </c>
      <c r="D44">
        <v>0.67</v>
      </c>
      <c r="E44">
        <v>18.607500000000002</v>
      </c>
      <c r="F44">
        <v>2.5</v>
      </c>
      <c r="G44">
        <v>0.40305000000000002</v>
      </c>
      <c r="H44">
        <v>3.4</v>
      </c>
      <c r="I44">
        <v>5.4417E-2</v>
      </c>
      <c r="J44">
        <v>2.2999999999999998</v>
      </c>
      <c r="K44">
        <v>0.66600000000000004</v>
      </c>
      <c r="L44">
        <v>341.6</v>
      </c>
      <c r="M44">
        <v>7.6</v>
      </c>
      <c r="N44">
        <v>343.9</v>
      </c>
      <c r="O44">
        <v>10</v>
      </c>
      <c r="P44">
        <v>359.2</v>
      </c>
      <c r="Q44">
        <v>57.5</v>
      </c>
      <c r="R44" s="1">
        <v>341.6</v>
      </c>
      <c r="S44">
        <v>7.6</v>
      </c>
      <c r="T44">
        <v>95.1</v>
      </c>
      <c r="AS44" t="s">
        <v>418</v>
      </c>
      <c r="AT44">
        <v>684</v>
      </c>
      <c r="AU44">
        <v>29124</v>
      </c>
      <c r="AV44">
        <v>1.41</v>
      </c>
      <c r="AW44">
        <v>13.2395</v>
      </c>
      <c r="AX44">
        <v>2.1</v>
      </c>
      <c r="AY44">
        <v>1.9632000000000001</v>
      </c>
      <c r="AZ44">
        <v>3.2</v>
      </c>
      <c r="BA44">
        <v>0.18859400000000001</v>
      </c>
      <c r="BB44">
        <v>2.4</v>
      </c>
      <c r="BC44">
        <v>0.76300000000000001</v>
      </c>
      <c r="BD44">
        <v>1113.8</v>
      </c>
      <c r="BE44">
        <v>24.8</v>
      </c>
      <c r="BF44">
        <v>1103</v>
      </c>
      <c r="BG44">
        <v>21.4</v>
      </c>
      <c r="BH44">
        <v>1081.8</v>
      </c>
      <c r="BI44">
        <v>41.2</v>
      </c>
      <c r="BJ44">
        <v>1081.8</v>
      </c>
      <c r="BK44">
        <v>41.2</v>
      </c>
      <c r="BL44">
        <v>103</v>
      </c>
    </row>
    <row r="45" spans="1:64" x14ac:dyDescent="0.2">
      <c r="A45" t="s">
        <v>82</v>
      </c>
      <c r="B45">
        <v>3506</v>
      </c>
      <c r="C45">
        <v>33827</v>
      </c>
      <c r="D45">
        <v>0.35</v>
      </c>
      <c r="E45">
        <v>17.976800000000001</v>
      </c>
      <c r="F45">
        <v>2.6</v>
      </c>
      <c r="G45">
        <v>0.40894000000000003</v>
      </c>
      <c r="H45">
        <v>3.5</v>
      </c>
      <c r="I45">
        <v>5.3341E-2</v>
      </c>
      <c r="J45">
        <v>2.4</v>
      </c>
      <c r="K45">
        <v>0.67900000000000005</v>
      </c>
      <c r="L45">
        <v>335</v>
      </c>
      <c r="M45">
        <v>7.8</v>
      </c>
      <c r="N45">
        <v>348.1</v>
      </c>
      <c r="O45">
        <v>10.4</v>
      </c>
      <c r="P45">
        <v>436.5</v>
      </c>
      <c r="Q45">
        <v>57.5</v>
      </c>
      <c r="R45" s="1">
        <v>335</v>
      </c>
      <c r="S45">
        <v>7.8</v>
      </c>
      <c r="T45">
        <v>76.7</v>
      </c>
      <c r="AS45" t="s">
        <v>419</v>
      </c>
      <c r="AT45">
        <v>1521</v>
      </c>
      <c r="AU45">
        <v>184539</v>
      </c>
      <c r="AV45">
        <v>1.1100000000000001</v>
      </c>
      <c r="AW45">
        <v>13.086499999999999</v>
      </c>
      <c r="AX45">
        <v>1.9</v>
      </c>
      <c r="AY45">
        <v>1.9792000000000001</v>
      </c>
      <c r="AZ45">
        <v>2.9</v>
      </c>
      <c r="BA45">
        <v>0.18793499999999999</v>
      </c>
      <c r="BB45">
        <v>2.2999999999999998</v>
      </c>
      <c r="BC45">
        <v>0.76600000000000001</v>
      </c>
      <c r="BD45">
        <v>1110.2</v>
      </c>
      <c r="BE45">
        <v>22.9</v>
      </c>
      <c r="BF45">
        <v>1108.4000000000001</v>
      </c>
      <c r="BG45">
        <v>19.8</v>
      </c>
      <c r="BH45">
        <v>1105</v>
      </c>
      <c r="BI45">
        <v>37.799999999999997</v>
      </c>
      <c r="BJ45">
        <v>1105</v>
      </c>
      <c r="BK45">
        <v>37.799999999999997</v>
      </c>
      <c r="BL45">
        <v>100.5</v>
      </c>
    </row>
    <row r="46" spans="1:64" x14ac:dyDescent="0.2">
      <c r="A46" t="s">
        <v>83</v>
      </c>
      <c r="B46">
        <v>749</v>
      </c>
      <c r="C46">
        <v>117110</v>
      </c>
      <c r="D46">
        <v>10.62</v>
      </c>
      <c r="E46">
        <v>18.686399999999999</v>
      </c>
      <c r="F46">
        <v>2.8</v>
      </c>
      <c r="G46">
        <v>0.39304</v>
      </c>
      <c r="H46">
        <v>4.4000000000000004</v>
      </c>
      <c r="I46">
        <v>5.3291999999999999E-2</v>
      </c>
      <c r="J46">
        <v>3.3</v>
      </c>
      <c r="K46">
        <v>0.76100000000000001</v>
      </c>
      <c r="L46">
        <v>334.7</v>
      </c>
      <c r="M46">
        <v>10.9</v>
      </c>
      <c r="N46">
        <v>336.6</v>
      </c>
      <c r="O46">
        <v>12.6</v>
      </c>
      <c r="P46">
        <v>349.7</v>
      </c>
      <c r="Q46">
        <v>64.400000000000006</v>
      </c>
      <c r="R46" s="1">
        <v>334.7</v>
      </c>
      <c r="S46">
        <v>10.9</v>
      </c>
      <c r="T46">
        <v>95.7</v>
      </c>
      <c r="AS46" t="s">
        <v>420</v>
      </c>
      <c r="AT46">
        <v>1078</v>
      </c>
      <c r="AU46">
        <v>76790</v>
      </c>
      <c r="AV46">
        <v>5.13</v>
      </c>
      <c r="AW46">
        <v>16.945799999999998</v>
      </c>
      <c r="AX46">
        <v>1.7</v>
      </c>
      <c r="AY46">
        <v>0.73423000000000005</v>
      </c>
      <c r="AZ46">
        <v>3.5</v>
      </c>
      <c r="BA46">
        <v>9.0278999999999998E-2</v>
      </c>
      <c r="BB46">
        <v>3.1</v>
      </c>
      <c r="BC46">
        <v>0.88200000000000001</v>
      </c>
      <c r="BD46">
        <v>557.20000000000005</v>
      </c>
      <c r="BE46">
        <v>16.600000000000001</v>
      </c>
      <c r="BF46">
        <v>559</v>
      </c>
      <c r="BG46">
        <v>15.2</v>
      </c>
      <c r="BH46">
        <v>566.6</v>
      </c>
      <c r="BI46">
        <v>36.200000000000003</v>
      </c>
      <c r="BJ46">
        <v>557.20000000000005</v>
      </c>
      <c r="BK46">
        <v>16.600000000000001</v>
      </c>
      <c r="BL46">
        <v>98.3</v>
      </c>
    </row>
    <row r="47" spans="1:64" x14ac:dyDescent="0.2">
      <c r="A47" t="s">
        <v>84</v>
      </c>
      <c r="B47">
        <v>1025</v>
      </c>
      <c r="C47">
        <v>34568</v>
      </c>
      <c r="D47">
        <v>0.59</v>
      </c>
      <c r="E47">
        <v>17.613700000000001</v>
      </c>
      <c r="F47">
        <v>5</v>
      </c>
      <c r="G47">
        <v>0.40106000000000003</v>
      </c>
      <c r="H47">
        <v>5.9</v>
      </c>
      <c r="I47">
        <v>5.1257999999999998E-2</v>
      </c>
      <c r="J47">
        <v>3.1</v>
      </c>
      <c r="K47">
        <v>0.52500000000000002</v>
      </c>
      <c r="L47">
        <v>322.2</v>
      </c>
      <c r="M47">
        <v>9.6999999999999993</v>
      </c>
      <c r="N47">
        <v>342.4</v>
      </c>
      <c r="O47">
        <v>17.100000000000001</v>
      </c>
      <c r="P47">
        <v>481.8</v>
      </c>
      <c r="Q47">
        <v>110.4</v>
      </c>
      <c r="R47" s="1">
        <v>322.2</v>
      </c>
      <c r="S47">
        <v>9.6999999999999993</v>
      </c>
      <c r="T47">
        <v>66.900000000000006</v>
      </c>
      <c r="AS47" t="s">
        <v>421</v>
      </c>
      <c r="AT47">
        <v>677</v>
      </c>
      <c r="AU47">
        <v>55591</v>
      </c>
      <c r="AV47">
        <v>1.55</v>
      </c>
      <c r="AW47">
        <v>18.0032</v>
      </c>
      <c r="AX47">
        <v>2.1</v>
      </c>
      <c r="AY47">
        <v>0.52812999999999999</v>
      </c>
      <c r="AZ47">
        <v>3.8</v>
      </c>
      <c r="BA47">
        <v>6.8989999999999996E-2</v>
      </c>
      <c r="BB47">
        <v>3.2</v>
      </c>
      <c r="BC47">
        <v>0.83899999999999997</v>
      </c>
      <c r="BD47">
        <v>430.1</v>
      </c>
      <c r="BE47">
        <v>13.2</v>
      </c>
      <c r="BF47">
        <v>430.6</v>
      </c>
      <c r="BG47">
        <v>13.3</v>
      </c>
      <c r="BH47">
        <v>433.2</v>
      </c>
      <c r="BI47">
        <v>46</v>
      </c>
      <c r="BJ47">
        <v>430.1</v>
      </c>
      <c r="BK47">
        <v>13.2</v>
      </c>
      <c r="BL47">
        <v>99.3</v>
      </c>
    </row>
    <row r="48" spans="1:64" x14ac:dyDescent="0.2">
      <c r="A48" t="s">
        <v>85</v>
      </c>
      <c r="B48">
        <v>936</v>
      </c>
      <c r="C48">
        <v>58123</v>
      </c>
      <c r="D48">
        <v>0.8</v>
      </c>
      <c r="E48">
        <v>18.5184</v>
      </c>
      <c r="F48">
        <v>3.1</v>
      </c>
      <c r="G48">
        <v>0.39482</v>
      </c>
      <c r="H48">
        <v>4.2</v>
      </c>
      <c r="I48">
        <v>5.3052000000000002E-2</v>
      </c>
      <c r="J48">
        <v>2.9</v>
      </c>
      <c r="K48">
        <v>0.67700000000000005</v>
      </c>
      <c r="L48">
        <v>333.2</v>
      </c>
      <c r="M48">
        <v>9.3000000000000007</v>
      </c>
      <c r="N48">
        <v>337.9</v>
      </c>
      <c r="O48">
        <v>12.1</v>
      </c>
      <c r="P48">
        <v>370</v>
      </c>
      <c r="Q48">
        <v>70</v>
      </c>
      <c r="R48" s="1">
        <v>333.2</v>
      </c>
      <c r="S48">
        <v>9.3000000000000007</v>
      </c>
      <c r="T48">
        <v>90.1</v>
      </c>
      <c r="AS48" t="s">
        <v>422</v>
      </c>
      <c r="AT48">
        <v>650</v>
      </c>
      <c r="AU48">
        <v>139537</v>
      </c>
      <c r="AV48">
        <v>1.55</v>
      </c>
      <c r="AW48">
        <v>13.2483</v>
      </c>
      <c r="AX48">
        <v>2.1</v>
      </c>
      <c r="AY48">
        <v>1.92561</v>
      </c>
      <c r="AZ48">
        <v>3.1</v>
      </c>
      <c r="BA48">
        <v>0.18510699999999999</v>
      </c>
      <c r="BB48">
        <v>2.2999999999999998</v>
      </c>
      <c r="BC48">
        <v>0.74099999999999999</v>
      </c>
      <c r="BD48">
        <v>1094.8</v>
      </c>
      <c r="BE48">
        <v>23.2</v>
      </c>
      <c r="BF48">
        <v>1090</v>
      </c>
      <c r="BG48">
        <v>20.8</v>
      </c>
      <c r="BH48">
        <v>1080.4000000000001</v>
      </c>
      <c r="BI48">
        <v>41.8</v>
      </c>
      <c r="BJ48">
        <v>1080.4000000000001</v>
      </c>
      <c r="BK48">
        <v>41.8</v>
      </c>
      <c r="BL48">
        <v>101.3</v>
      </c>
    </row>
    <row r="49" spans="1:64" x14ac:dyDescent="0.2">
      <c r="A49" t="s">
        <v>86</v>
      </c>
      <c r="B49">
        <v>1437</v>
      </c>
      <c r="C49">
        <v>25671</v>
      </c>
      <c r="D49">
        <v>0.69</v>
      </c>
      <c r="E49">
        <v>18.554400000000001</v>
      </c>
      <c r="F49">
        <v>2.4</v>
      </c>
      <c r="G49">
        <v>0.38607000000000002</v>
      </c>
      <c r="H49">
        <v>4.2</v>
      </c>
      <c r="I49">
        <v>5.1977000000000002E-2</v>
      </c>
      <c r="J49">
        <v>3.5</v>
      </c>
      <c r="K49">
        <v>0.81899999999999995</v>
      </c>
      <c r="L49">
        <v>326.60000000000002</v>
      </c>
      <c r="M49">
        <v>11.1</v>
      </c>
      <c r="N49">
        <v>331.5</v>
      </c>
      <c r="O49">
        <v>12</v>
      </c>
      <c r="P49">
        <v>365.7</v>
      </c>
      <c r="Q49">
        <v>54.9</v>
      </c>
      <c r="R49" s="1">
        <v>326.60000000000002</v>
      </c>
      <c r="S49">
        <v>11.1</v>
      </c>
      <c r="T49">
        <v>89.3</v>
      </c>
      <c r="AS49" t="s">
        <v>423</v>
      </c>
      <c r="AT49">
        <v>945</v>
      </c>
      <c r="AU49">
        <v>60801</v>
      </c>
      <c r="AV49">
        <v>2.09</v>
      </c>
      <c r="AW49">
        <v>18.096299999999999</v>
      </c>
      <c r="AX49">
        <v>2.1</v>
      </c>
      <c r="AY49">
        <v>0.52715999999999996</v>
      </c>
      <c r="AZ49">
        <v>3.4</v>
      </c>
      <c r="BA49">
        <v>6.9219000000000003E-2</v>
      </c>
      <c r="BB49">
        <v>2.7</v>
      </c>
      <c r="BC49">
        <v>0.79900000000000004</v>
      </c>
      <c r="BD49">
        <v>431.4</v>
      </c>
      <c r="BE49">
        <v>11.4</v>
      </c>
      <c r="BF49">
        <v>429.9</v>
      </c>
      <c r="BG49">
        <v>12</v>
      </c>
      <c r="BH49">
        <v>421.7</v>
      </c>
      <c r="BI49">
        <v>45.9</v>
      </c>
      <c r="BJ49">
        <v>431.4</v>
      </c>
      <c r="BK49">
        <v>11.4</v>
      </c>
      <c r="BL49">
        <v>102.3</v>
      </c>
    </row>
    <row r="50" spans="1:64" x14ac:dyDescent="0.2">
      <c r="A50" t="s">
        <v>87</v>
      </c>
      <c r="B50">
        <v>1675</v>
      </c>
      <c r="C50">
        <v>47843</v>
      </c>
      <c r="D50">
        <v>0.46</v>
      </c>
      <c r="E50">
        <v>18.6768</v>
      </c>
      <c r="F50">
        <v>2.6</v>
      </c>
      <c r="G50">
        <v>0.40103</v>
      </c>
      <c r="H50">
        <v>3.2</v>
      </c>
      <c r="I50">
        <v>5.4345999999999998E-2</v>
      </c>
      <c r="J50">
        <v>1.9</v>
      </c>
      <c r="K50">
        <v>0.60099999999999998</v>
      </c>
      <c r="L50">
        <v>341.1</v>
      </c>
      <c r="M50">
        <v>6.4</v>
      </c>
      <c r="N50">
        <v>342.4</v>
      </c>
      <c r="O50">
        <v>9.4</v>
      </c>
      <c r="P50">
        <v>350.8</v>
      </c>
      <c r="Q50">
        <v>58.1</v>
      </c>
      <c r="R50" s="1">
        <v>341.1</v>
      </c>
      <c r="S50">
        <v>6.4</v>
      </c>
      <c r="T50">
        <v>97.2</v>
      </c>
      <c r="AS50" t="s">
        <v>424</v>
      </c>
      <c r="AT50">
        <v>211</v>
      </c>
      <c r="AU50">
        <v>13821</v>
      </c>
      <c r="AV50">
        <v>1.25</v>
      </c>
      <c r="AW50">
        <v>18.267700000000001</v>
      </c>
      <c r="AX50">
        <v>5.6</v>
      </c>
      <c r="AY50">
        <v>0.50336000000000003</v>
      </c>
      <c r="AZ50">
        <v>7.2</v>
      </c>
      <c r="BA50">
        <v>6.6721000000000003E-2</v>
      </c>
      <c r="BB50">
        <v>4.5</v>
      </c>
      <c r="BC50">
        <v>0.627</v>
      </c>
      <c r="BD50">
        <v>416.4</v>
      </c>
      <c r="BE50">
        <v>18.100000000000001</v>
      </c>
      <c r="BF50">
        <v>414</v>
      </c>
      <c r="BG50">
        <v>24.3</v>
      </c>
      <c r="BH50">
        <v>400.6</v>
      </c>
      <c r="BI50">
        <v>124.9</v>
      </c>
      <c r="BJ50">
        <v>416.4</v>
      </c>
      <c r="BK50">
        <v>18.100000000000001</v>
      </c>
      <c r="BL50">
        <v>103.9</v>
      </c>
    </row>
    <row r="51" spans="1:64" x14ac:dyDescent="0.2">
      <c r="A51" t="s">
        <v>88</v>
      </c>
      <c r="B51">
        <v>860</v>
      </c>
      <c r="C51">
        <v>17321</v>
      </c>
      <c r="D51">
        <v>0.81</v>
      </c>
      <c r="E51">
        <v>17.855399999999999</v>
      </c>
      <c r="F51">
        <v>4.7</v>
      </c>
      <c r="G51">
        <v>0.42464000000000002</v>
      </c>
      <c r="H51">
        <v>5.4</v>
      </c>
      <c r="I51">
        <v>5.5015000000000001E-2</v>
      </c>
      <c r="J51">
        <v>2.7</v>
      </c>
      <c r="K51">
        <v>0.49299999999999999</v>
      </c>
      <c r="L51">
        <v>345.2</v>
      </c>
      <c r="M51">
        <v>8.9</v>
      </c>
      <c r="N51">
        <v>359.4</v>
      </c>
      <c r="O51">
        <v>16.3</v>
      </c>
      <c r="P51">
        <v>451.6</v>
      </c>
      <c r="Q51">
        <v>104.1</v>
      </c>
      <c r="R51" s="1">
        <v>345.2</v>
      </c>
      <c r="S51">
        <v>8.9</v>
      </c>
      <c r="T51">
        <v>76.400000000000006</v>
      </c>
      <c r="AS51" t="s">
        <v>425</v>
      </c>
      <c r="AT51">
        <v>1217</v>
      </c>
      <c r="AU51">
        <v>119810</v>
      </c>
      <c r="AV51">
        <v>5.33</v>
      </c>
      <c r="AW51">
        <v>16.767099999999999</v>
      </c>
      <c r="AX51">
        <v>2.9</v>
      </c>
      <c r="AY51">
        <v>0.73873</v>
      </c>
      <c r="AZ51">
        <v>3.6</v>
      </c>
      <c r="BA51">
        <v>8.9874999999999997E-2</v>
      </c>
      <c r="BB51">
        <v>2.2000000000000002</v>
      </c>
      <c r="BC51">
        <v>0.60499999999999998</v>
      </c>
      <c r="BD51">
        <v>554.79999999999995</v>
      </c>
      <c r="BE51">
        <v>11.6</v>
      </c>
      <c r="BF51">
        <v>561.70000000000005</v>
      </c>
      <c r="BG51">
        <v>15.6</v>
      </c>
      <c r="BH51">
        <v>589.6</v>
      </c>
      <c r="BI51">
        <v>62.3</v>
      </c>
      <c r="BJ51">
        <v>554.79999999999995</v>
      </c>
      <c r="BK51">
        <v>11.6</v>
      </c>
      <c r="BL51">
        <v>94.1</v>
      </c>
    </row>
    <row r="52" spans="1:64" x14ac:dyDescent="0.2">
      <c r="A52" t="s">
        <v>89</v>
      </c>
      <c r="B52">
        <v>3040</v>
      </c>
      <c r="C52">
        <v>52506</v>
      </c>
      <c r="D52">
        <v>2.5099999999999998</v>
      </c>
      <c r="E52">
        <v>18.5442</v>
      </c>
      <c r="F52">
        <v>2.1</v>
      </c>
      <c r="G52">
        <v>0.39206999999999997</v>
      </c>
      <c r="H52">
        <v>3.3</v>
      </c>
      <c r="I52">
        <v>5.2755999999999997E-2</v>
      </c>
      <c r="J52">
        <v>2.5</v>
      </c>
      <c r="K52">
        <v>0.75700000000000001</v>
      </c>
      <c r="L52">
        <v>331.4</v>
      </c>
      <c r="M52">
        <v>8</v>
      </c>
      <c r="N52">
        <v>335.9</v>
      </c>
      <c r="O52">
        <v>9.4</v>
      </c>
      <c r="P52">
        <v>366.9</v>
      </c>
      <c r="Q52">
        <v>48.4</v>
      </c>
      <c r="R52" s="1">
        <v>331.4</v>
      </c>
      <c r="S52">
        <v>8</v>
      </c>
      <c r="T52">
        <v>90.3</v>
      </c>
      <c r="AS52" t="s">
        <v>426</v>
      </c>
      <c r="AT52">
        <v>1223</v>
      </c>
      <c r="AU52">
        <v>75268</v>
      </c>
      <c r="AV52">
        <v>5.29</v>
      </c>
      <c r="AW52">
        <v>17.034300000000002</v>
      </c>
      <c r="AX52">
        <v>1.5</v>
      </c>
      <c r="AY52">
        <v>0.73319000000000001</v>
      </c>
      <c r="AZ52">
        <v>2.9</v>
      </c>
      <c r="BA52">
        <v>9.0621999999999994E-2</v>
      </c>
      <c r="BB52">
        <v>2.5</v>
      </c>
      <c r="BC52">
        <v>0.85199999999999998</v>
      </c>
      <c r="BD52">
        <v>559.20000000000005</v>
      </c>
      <c r="BE52">
        <v>13.3</v>
      </c>
      <c r="BF52">
        <v>558.4</v>
      </c>
      <c r="BG52">
        <v>12.6</v>
      </c>
      <c r="BH52">
        <v>555.20000000000005</v>
      </c>
      <c r="BI52">
        <v>33.5</v>
      </c>
      <c r="BJ52">
        <v>559.20000000000005</v>
      </c>
      <c r="BK52">
        <v>13.3</v>
      </c>
      <c r="BL52">
        <v>100.7</v>
      </c>
    </row>
    <row r="53" spans="1:64" x14ac:dyDescent="0.2">
      <c r="A53" t="s">
        <v>90</v>
      </c>
      <c r="B53">
        <v>1944</v>
      </c>
      <c r="C53">
        <v>79690</v>
      </c>
      <c r="D53">
        <v>0.49</v>
      </c>
      <c r="E53">
        <v>18.7744</v>
      </c>
      <c r="F53">
        <v>2.2000000000000002</v>
      </c>
      <c r="G53">
        <v>0.39578000000000002</v>
      </c>
      <c r="H53">
        <v>3.1</v>
      </c>
      <c r="I53">
        <v>5.3915999999999999E-2</v>
      </c>
      <c r="J53">
        <v>2.1</v>
      </c>
      <c r="K53">
        <v>0.69199999999999995</v>
      </c>
      <c r="L53">
        <v>338.5</v>
      </c>
      <c r="M53">
        <v>7</v>
      </c>
      <c r="N53">
        <v>338.6</v>
      </c>
      <c r="O53">
        <v>8.8000000000000007</v>
      </c>
      <c r="P53">
        <v>339.1</v>
      </c>
      <c r="Q53">
        <v>50.1</v>
      </c>
      <c r="R53" s="1">
        <v>338.5</v>
      </c>
      <c r="S53">
        <v>7</v>
      </c>
      <c r="T53">
        <v>99.8</v>
      </c>
      <c r="AS53" t="s">
        <v>427</v>
      </c>
      <c r="AT53">
        <v>304</v>
      </c>
      <c r="AU53">
        <v>11866</v>
      </c>
      <c r="AV53">
        <v>2</v>
      </c>
      <c r="AW53">
        <v>13.257899999999999</v>
      </c>
      <c r="AX53">
        <v>3.2</v>
      </c>
      <c r="AY53">
        <v>1.9369499999999999</v>
      </c>
      <c r="AZ53">
        <v>4.4000000000000004</v>
      </c>
      <c r="BA53">
        <v>0.186333</v>
      </c>
      <c r="BB53">
        <v>3.1</v>
      </c>
      <c r="BC53">
        <v>0.69</v>
      </c>
      <c r="BD53">
        <v>1101.5</v>
      </c>
      <c r="BE53">
        <v>31</v>
      </c>
      <c r="BF53">
        <v>1093.9000000000001</v>
      </c>
      <c r="BG53">
        <v>29.7</v>
      </c>
      <c r="BH53">
        <v>1079</v>
      </c>
      <c r="BI53">
        <v>64.400000000000006</v>
      </c>
      <c r="BJ53">
        <v>1079</v>
      </c>
      <c r="BK53">
        <v>64.400000000000006</v>
      </c>
      <c r="BL53">
        <v>102.1</v>
      </c>
    </row>
    <row r="54" spans="1:64" x14ac:dyDescent="0.2">
      <c r="A54" t="s">
        <v>91</v>
      </c>
      <c r="B54">
        <v>1441</v>
      </c>
      <c r="C54">
        <v>75261</v>
      </c>
      <c r="D54">
        <v>0.59</v>
      </c>
      <c r="E54">
        <v>18.631499999999999</v>
      </c>
      <c r="F54">
        <v>2.6</v>
      </c>
      <c r="G54">
        <v>0.38878000000000001</v>
      </c>
      <c r="H54">
        <v>3.5</v>
      </c>
      <c r="I54">
        <v>5.2559000000000002E-2</v>
      </c>
      <c r="J54">
        <v>2.4</v>
      </c>
      <c r="K54">
        <v>0.68400000000000005</v>
      </c>
      <c r="L54">
        <v>330.2</v>
      </c>
      <c r="M54">
        <v>7.7</v>
      </c>
      <c r="N54">
        <v>333.5</v>
      </c>
      <c r="O54">
        <v>10</v>
      </c>
      <c r="P54">
        <v>356.3</v>
      </c>
      <c r="Q54">
        <v>57.9</v>
      </c>
      <c r="R54" s="1">
        <v>330.2</v>
      </c>
      <c r="S54">
        <v>7.7</v>
      </c>
      <c r="T54">
        <v>92.7</v>
      </c>
      <c r="AS54" t="s">
        <v>428</v>
      </c>
      <c r="AT54">
        <v>585</v>
      </c>
      <c r="AU54">
        <v>16999</v>
      </c>
      <c r="AV54">
        <v>2.5299999999999998</v>
      </c>
      <c r="AW54">
        <v>13.205399999999999</v>
      </c>
      <c r="AX54">
        <v>2</v>
      </c>
      <c r="AY54">
        <v>1.91377</v>
      </c>
      <c r="AZ54">
        <v>4</v>
      </c>
      <c r="BA54">
        <v>0.18337300000000001</v>
      </c>
      <c r="BB54">
        <v>3.5</v>
      </c>
      <c r="BC54">
        <v>0.874</v>
      </c>
      <c r="BD54">
        <v>1085.4000000000001</v>
      </c>
      <c r="BE54">
        <v>35.200000000000003</v>
      </c>
      <c r="BF54">
        <v>1085.9000000000001</v>
      </c>
      <c r="BG54">
        <v>26.9</v>
      </c>
      <c r="BH54">
        <v>1086.9000000000001</v>
      </c>
      <c r="BI54">
        <v>39.200000000000003</v>
      </c>
      <c r="BJ54">
        <v>1086.9000000000001</v>
      </c>
      <c r="BK54">
        <v>39.200000000000003</v>
      </c>
      <c r="BL54">
        <v>99.9</v>
      </c>
    </row>
    <row r="55" spans="1:64" x14ac:dyDescent="0.2">
      <c r="A55" t="s">
        <v>92</v>
      </c>
      <c r="B55">
        <v>232</v>
      </c>
      <c r="C55">
        <v>9087</v>
      </c>
      <c r="D55">
        <v>2.06</v>
      </c>
      <c r="E55">
        <v>13.362</v>
      </c>
      <c r="F55">
        <v>22.2</v>
      </c>
      <c r="G55">
        <v>0.54486999999999997</v>
      </c>
      <c r="H55">
        <v>23</v>
      </c>
      <c r="I55">
        <v>5.2828E-2</v>
      </c>
      <c r="J55">
        <v>6.1</v>
      </c>
      <c r="K55">
        <v>0.26500000000000001</v>
      </c>
      <c r="L55">
        <v>331.9</v>
      </c>
      <c r="M55">
        <v>19.7</v>
      </c>
      <c r="N55">
        <v>441.6</v>
      </c>
      <c r="O55">
        <v>82.3</v>
      </c>
      <c r="P55">
        <v>1063.3</v>
      </c>
      <c r="Q55">
        <v>447</v>
      </c>
      <c r="R55" s="1">
        <v>331.9</v>
      </c>
      <c r="S55">
        <v>19.7</v>
      </c>
      <c r="T55">
        <v>31.2</v>
      </c>
      <c r="AS55" t="s">
        <v>429</v>
      </c>
      <c r="AT55">
        <v>770</v>
      </c>
      <c r="AU55">
        <v>89540</v>
      </c>
      <c r="AV55">
        <v>1.55</v>
      </c>
      <c r="AW55">
        <v>13.1783</v>
      </c>
      <c r="AX55">
        <v>1.8</v>
      </c>
      <c r="AY55">
        <v>1.9459299999999999</v>
      </c>
      <c r="AZ55">
        <v>3.2</v>
      </c>
      <c r="BA55">
        <v>0.18607199999999999</v>
      </c>
      <c r="BB55">
        <v>2.7</v>
      </c>
      <c r="BC55">
        <v>0.82799999999999996</v>
      </c>
      <c r="BD55">
        <v>1100.0999999999999</v>
      </c>
      <c r="BE55">
        <v>26.9</v>
      </c>
      <c r="BF55">
        <v>1097</v>
      </c>
      <c r="BG55">
        <v>21.5</v>
      </c>
      <c r="BH55">
        <v>1091.0999999999999</v>
      </c>
      <c r="BI55">
        <v>36</v>
      </c>
      <c r="BJ55">
        <v>1091.0999999999999</v>
      </c>
      <c r="BK55">
        <v>36</v>
      </c>
      <c r="BL55">
        <v>100.8</v>
      </c>
    </row>
    <row r="56" spans="1:64" x14ac:dyDescent="0.2">
      <c r="A56" t="s">
        <v>93</v>
      </c>
      <c r="B56">
        <v>745</v>
      </c>
      <c r="C56">
        <v>10261</v>
      </c>
      <c r="D56">
        <v>0.73</v>
      </c>
      <c r="E56">
        <v>18.960799999999999</v>
      </c>
      <c r="F56">
        <v>4.8</v>
      </c>
      <c r="G56">
        <v>0.39359</v>
      </c>
      <c r="H56">
        <v>5.5</v>
      </c>
      <c r="I56">
        <v>5.4149000000000003E-2</v>
      </c>
      <c r="J56">
        <v>2.8</v>
      </c>
      <c r="K56">
        <v>0.503</v>
      </c>
      <c r="L56">
        <v>339.9</v>
      </c>
      <c r="M56">
        <v>9.1999999999999993</v>
      </c>
      <c r="N56">
        <v>337</v>
      </c>
      <c r="O56">
        <v>15.8</v>
      </c>
      <c r="P56">
        <v>316.60000000000002</v>
      </c>
      <c r="Q56">
        <v>108.5</v>
      </c>
      <c r="R56" s="1">
        <v>339.9</v>
      </c>
      <c r="S56">
        <v>9.1999999999999993</v>
      </c>
      <c r="T56">
        <v>107.4</v>
      </c>
      <c r="AS56" t="s">
        <v>430</v>
      </c>
      <c r="AT56">
        <v>498</v>
      </c>
      <c r="AU56">
        <v>202430</v>
      </c>
      <c r="AV56">
        <v>1.64</v>
      </c>
      <c r="AW56">
        <v>13.109299999999999</v>
      </c>
      <c r="AX56">
        <v>2</v>
      </c>
      <c r="AY56">
        <v>1.95834</v>
      </c>
      <c r="AZ56">
        <v>3.6</v>
      </c>
      <c r="BA56">
        <v>0.186279</v>
      </c>
      <c r="BB56">
        <v>2.9</v>
      </c>
      <c r="BC56">
        <v>0.82299999999999995</v>
      </c>
      <c r="BD56">
        <v>1101.2</v>
      </c>
      <c r="BE56">
        <v>29.7</v>
      </c>
      <c r="BF56">
        <v>1101.3</v>
      </c>
      <c r="BG56">
        <v>24</v>
      </c>
      <c r="BH56">
        <v>1101.5999999999999</v>
      </c>
      <c r="BI56">
        <v>40.5</v>
      </c>
      <c r="BJ56">
        <v>1101.5999999999999</v>
      </c>
      <c r="BK56">
        <v>40.5</v>
      </c>
      <c r="BL56">
        <v>100</v>
      </c>
    </row>
    <row r="57" spans="1:64" x14ac:dyDescent="0.2">
      <c r="A57" t="s">
        <v>94</v>
      </c>
      <c r="B57">
        <v>1763</v>
      </c>
      <c r="C57">
        <v>333636</v>
      </c>
      <c r="D57">
        <v>0.62</v>
      </c>
      <c r="E57">
        <v>18.528700000000001</v>
      </c>
      <c r="F57">
        <v>2.4</v>
      </c>
      <c r="G57">
        <v>0.39538000000000001</v>
      </c>
      <c r="H57">
        <v>3.3</v>
      </c>
      <c r="I57">
        <v>5.3156000000000002E-2</v>
      </c>
      <c r="J57">
        <v>2.2999999999999998</v>
      </c>
      <c r="K57">
        <v>0.69499999999999995</v>
      </c>
      <c r="L57">
        <v>333.9</v>
      </c>
      <c r="M57">
        <v>7.5</v>
      </c>
      <c r="N57">
        <v>338.3</v>
      </c>
      <c r="O57">
        <v>9.6</v>
      </c>
      <c r="P57">
        <v>368.8</v>
      </c>
      <c r="Q57">
        <v>53.7</v>
      </c>
      <c r="R57" s="1">
        <v>333.9</v>
      </c>
      <c r="S57">
        <v>7.5</v>
      </c>
      <c r="T57">
        <v>90.5</v>
      </c>
    </row>
    <row r="58" spans="1:64" x14ac:dyDescent="0.2">
      <c r="A58" t="s">
        <v>95</v>
      </c>
      <c r="B58">
        <v>954</v>
      </c>
      <c r="C58">
        <v>118057</v>
      </c>
      <c r="D58">
        <v>0.66</v>
      </c>
      <c r="E58">
        <v>18.381799999999998</v>
      </c>
      <c r="F58">
        <v>2.2999999999999998</v>
      </c>
      <c r="G58">
        <v>0.39845999999999998</v>
      </c>
      <c r="H58">
        <v>3.4</v>
      </c>
      <c r="I58">
        <v>5.3145999999999999E-2</v>
      </c>
      <c r="J58">
        <v>2.5</v>
      </c>
      <c r="K58">
        <v>0.745</v>
      </c>
      <c r="L58">
        <v>333.8</v>
      </c>
      <c r="M58">
        <v>8.1999999999999993</v>
      </c>
      <c r="N58">
        <v>340.5</v>
      </c>
      <c r="O58">
        <v>9.8000000000000007</v>
      </c>
      <c r="P58">
        <v>386.7</v>
      </c>
      <c r="Q58">
        <v>50.8</v>
      </c>
      <c r="R58" s="1">
        <v>333.8</v>
      </c>
      <c r="S58">
        <v>8.1999999999999993</v>
      </c>
      <c r="T58">
        <v>86.3</v>
      </c>
    </row>
    <row r="59" spans="1:64" x14ac:dyDescent="0.2">
      <c r="A59" t="s">
        <v>96</v>
      </c>
      <c r="B59">
        <v>382</v>
      </c>
      <c r="C59">
        <v>31366</v>
      </c>
      <c r="D59">
        <v>1.05</v>
      </c>
      <c r="E59">
        <v>18.338799999999999</v>
      </c>
      <c r="F59">
        <v>4.5999999999999996</v>
      </c>
      <c r="G59">
        <v>0.39489000000000002</v>
      </c>
      <c r="H59">
        <v>5.3</v>
      </c>
      <c r="I59">
        <v>5.2547000000000003E-2</v>
      </c>
      <c r="J59">
        <v>2.5</v>
      </c>
      <c r="K59">
        <v>0.47399999999999998</v>
      </c>
      <c r="L59">
        <v>330.1</v>
      </c>
      <c r="M59">
        <v>8</v>
      </c>
      <c r="N59">
        <v>337.9</v>
      </c>
      <c r="O59">
        <v>15.2</v>
      </c>
      <c r="P59">
        <v>391.9</v>
      </c>
      <c r="Q59">
        <v>104.2</v>
      </c>
      <c r="R59" s="1">
        <v>330.1</v>
      </c>
      <c r="S59">
        <v>8</v>
      </c>
      <c r="T59">
        <v>84.2</v>
      </c>
    </row>
    <row r="60" spans="1:64" x14ac:dyDescent="0.2">
      <c r="A60" t="s">
        <v>97</v>
      </c>
      <c r="B60">
        <v>1296</v>
      </c>
      <c r="C60">
        <v>22714</v>
      </c>
      <c r="D60">
        <v>0.59</v>
      </c>
      <c r="E60">
        <v>18.830200000000001</v>
      </c>
      <c r="F60">
        <v>3</v>
      </c>
      <c r="G60">
        <v>0.38591999999999999</v>
      </c>
      <c r="H60">
        <v>4</v>
      </c>
      <c r="I60">
        <v>5.2728999999999998E-2</v>
      </c>
      <c r="J60">
        <v>2.6</v>
      </c>
      <c r="K60">
        <v>0.65500000000000003</v>
      </c>
      <c r="L60">
        <v>331.3</v>
      </c>
      <c r="M60">
        <v>8.5</v>
      </c>
      <c r="N60">
        <v>331.4</v>
      </c>
      <c r="O60">
        <v>11.4</v>
      </c>
      <c r="P60">
        <v>332.3</v>
      </c>
      <c r="Q60">
        <v>68.8</v>
      </c>
      <c r="R60" s="1">
        <v>331.3</v>
      </c>
      <c r="S60">
        <v>8.5</v>
      </c>
      <c r="T60">
        <v>99.7</v>
      </c>
    </row>
    <row r="61" spans="1:64" x14ac:dyDescent="0.2">
      <c r="A61" t="s">
        <v>98</v>
      </c>
      <c r="B61">
        <v>1058</v>
      </c>
      <c r="C61">
        <v>77080</v>
      </c>
      <c r="D61">
        <v>0.57999999999999996</v>
      </c>
      <c r="E61">
        <v>18.655200000000001</v>
      </c>
      <c r="F61">
        <v>2.4</v>
      </c>
      <c r="G61">
        <v>0.39023999999999998</v>
      </c>
      <c r="H61">
        <v>3.5</v>
      </c>
      <c r="I61">
        <v>5.2823000000000002E-2</v>
      </c>
      <c r="J61">
        <v>2.5</v>
      </c>
      <c r="K61">
        <v>0.71299999999999997</v>
      </c>
      <c r="L61">
        <v>331.8</v>
      </c>
      <c r="M61">
        <v>8</v>
      </c>
      <c r="N61">
        <v>334.5</v>
      </c>
      <c r="O61">
        <v>9.9</v>
      </c>
      <c r="P61">
        <v>353.4</v>
      </c>
      <c r="Q61">
        <v>55.1</v>
      </c>
      <c r="R61" s="1">
        <v>331.8</v>
      </c>
      <c r="S61">
        <v>8</v>
      </c>
      <c r="T61">
        <v>93.9</v>
      </c>
    </row>
    <row r="62" spans="1:64" x14ac:dyDescent="0.2">
      <c r="A62" t="s">
        <v>99</v>
      </c>
      <c r="B62">
        <v>562</v>
      </c>
      <c r="C62">
        <v>9931</v>
      </c>
      <c r="D62">
        <v>0.96</v>
      </c>
      <c r="E62">
        <v>18.791399999999999</v>
      </c>
      <c r="F62">
        <v>5.5</v>
      </c>
      <c r="G62">
        <v>0.39018999999999998</v>
      </c>
      <c r="H62">
        <v>6.6</v>
      </c>
      <c r="I62">
        <v>5.3201999999999999E-2</v>
      </c>
      <c r="J62">
        <v>3.7</v>
      </c>
      <c r="K62">
        <v>0.55600000000000005</v>
      </c>
      <c r="L62">
        <v>334.2</v>
      </c>
      <c r="M62">
        <v>12</v>
      </c>
      <c r="N62">
        <v>334.5</v>
      </c>
      <c r="O62">
        <v>18.899999999999999</v>
      </c>
      <c r="P62">
        <v>337</v>
      </c>
      <c r="Q62">
        <v>124.6</v>
      </c>
      <c r="R62" s="1">
        <v>334.2</v>
      </c>
      <c r="S62">
        <v>12</v>
      </c>
      <c r="T62">
        <v>99.2</v>
      </c>
    </row>
    <row r="63" spans="1:64" x14ac:dyDescent="0.2">
      <c r="A63" t="s">
        <v>100</v>
      </c>
      <c r="B63">
        <v>709</v>
      </c>
      <c r="C63">
        <v>21048</v>
      </c>
      <c r="D63">
        <v>0.64</v>
      </c>
      <c r="E63">
        <v>18.703199999999999</v>
      </c>
      <c r="F63">
        <v>3.6</v>
      </c>
      <c r="G63">
        <v>0.39279999999999998</v>
      </c>
      <c r="H63">
        <v>4.3</v>
      </c>
      <c r="I63">
        <v>5.3307E-2</v>
      </c>
      <c r="J63">
        <v>2.4</v>
      </c>
      <c r="K63">
        <v>0.55700000000000005</v>
      </c>
      <c r="L63">
        <v>334.8</v>
      </c>
      <c r="M63">
        <v>7.9</v>
      </c>
      <c r="N63">
        <v>336.4</v>
      </c>
      <c r="O63">
        <v>12.4</v>
      </c>
      <c r="P63">
        <v>347.6</v>
      </c>
      <c r="Q63">
        <v>81.400000000000006</v>
      </c>
      <c r="R63" s="1">
        <v>334.8</v>
      </c>
      <c r="S63">
        <v>7.9</v>
      </c>
      <c r="T63">
        <v>96.3</v>
      </c>
    </row>
    <row r="64" spans="1:64" x14ac:dyDescent="0.2">
      <c r="A64" t="s">
        <v>101</v>
      </c>
      <c r="B64">
        <v>725</v>
      </c>
      <c r="C64">
        <v>27876</v>
      </c>
      <c r="D64">
        <v>10.95</v>
      </c>
      <c r="E64">
        <v>18.728899999999999</v>
      </c>
      <c r="F64">
        <v>3.4</v>
      </c>
      <c r="G64">
        <v>0.39606999999999998</v>
      </c>
      <c r="H64">
        <v>4</v>
      </c>
      <c r="I64">
        <v>5.3823999999999997E-2</v>
      </c>
      <c r="J64">
        <v>2.1</v>
      </c>
      <c r="K64">
        <v>0.51900000000000002</v>
      </c>
      <c r="L64">
        <v>338</v>
      </c>
      <c r="M64">
        <v>6.9</v>
      </c>
      <c r="N64">
        <v>338.8</v>
      </c>
      <c r="O64">
        <v>11.6</v>
      </c>
      <c r="P64">
        <v>344.5</v>
      </c>
      <c r="Q64">
        <v>77.599999999999994</v>
      </c>
      <c r="R64" s="1">
        <v>338</v>
      </c>
      <c r="S64">
        <v>6.9</v>
      </c>
      <c r="T64">
        <v>98.1</v>
      </c>
    </row>
    <row r="65" spans="1:20" x14ac:dyDescent="0.2">
      <c r="A65" t="s">
        <v>102</v>
      </c>
      <c r="B65">
        <v>2079</v>
      </c>
      <c r="C65">
        <v>68775</v>
      </c>
      <c r="D65">
        <v>0.31</v>
      </c>
      <c r="E65">
        <v>17.937899999999999</v>
      </c>
      <c r="F65">
        <v>3.5</v>
      </c>
      <c r="G65">
        <v>0.42664000000000002</v>
      </c>
      <c r="H65">
        <v>5.3</v>
      </c>
      <c r="I65">
        <v>5.5530000000000003E-2</v>
      </c>
      <c r="J65">
        <v>4</v>
      </c>
      <c r="K65">
        <v>0.748</v>
      </c>
      <c r="L65">
        <v>348.4</v>
      </c>
      <c r="M65">
        <v>13.4</v>
      </c>
      <c r="N65">
        <v>360.8</v>
      </c>
      <c r="O65">
        <v>16.100000000000001</v>
      </c>
      <c r="P65">
        <v>441.3</v>
      </c>
      <c r="Q65">
        <v>78.3</v>
      </c>
      <c r="R65" s="1">
        <v>348.4</v>
      </c>
      <c r="S65">
        <v>13.4</v>
      </c>
      <c r="T65">
        <v>78.900000000000006</v>
      </c>
    </row>
    <row r="66" spans="1:20" x14ac:dyDescent="0.2">
      <c r="A66" t="s">
        <v>103</v>
      </c>
      <c r="B66">
        <v>670</v>
      </c>
      <c r="C66">
        <v>14846</v>
      </c>
      <c r="D66">
        <v>0.76</v>
      </c>
      <c r="E66">
        <v>18.358699999999999</v>
      </c>
      <c r="F66">
        <v>4.3</v>
      </c>
      <c r="G66">
        <v>0.39362000000000003</v>
      </c>
      <c r="H66">
        <v>5.0999999999999996</v>
      </c>
      <c r="I66">
        <v>5.2434000000000001E-2</v>
      </c>
      <c r="J66">
        <v>2.7</v>
      </c>
      <c r="K66">
        <v>0.53600000000000003</v>
      </c>
      <c r="L66">
        <v>329.4</v>
      </c>
      <c r="M66">
        <v>8.8000000000000007</v>
      </c>
      <c r="N66">
        <v>337</v>
      </c>
      <c r="O66">
        <v>14.6</v>
      </c>
      <c r="P66">
        <v>389.5</v>
      </c>
      <c r="Q66">
        <v>96.5</v>
      </c>
      <c r="R66" s="1">
        <v>329.4</v>
      </c>
      <c r="S66">
        <v>8.8000000000000007</v>
      </c>
      <c r="T66">
        <v>84.6</v>
      </c>
    </row>
    <row r="67" spans="1:20" x14ac:dyDescent="0.2">
      <c r="A67" t="s">
        <v>104</v>
      </c>
      <c r="B67">
        <v>911</v>
      </c>
      <c r="C67">
        <v>16045</v>
      </c>
      <c r="D67">
        <v>0.59</v>
      </c>
      <c r="E67">
        <v>18.551500000000001</v>
      </c>
      <c r="F67">
        <v>3.8</v>
      </c>
      <c r="G67">
        <v>0.39362999999999998</v>
      </c>
      <c r="H67">
        <v>4.8</v>
      </c>
      <c r="I67">
        <v>5.2985999999999998E-2</v>
      </c>
      <c r="J67">
        <v>3</v>
      </c>
      <c r="K67">
        <v>0.61399999999999999</v>
      </c>
      <c r="L67">
        <v>332.8</v>
      </c>
      <c r="M67">
        <v>9.6</v>
      </c>
      <c r="N67">
        <v>337</v>
      </c>
      <c r="O67">
        <v>13.8</v>
      </c>
      <c r="P67">
        <v>366</v>
      </c>
      <c r="Q67">
        <v>85.6</v>
      </c>
      <c r="R67" s="1">
        <v>332.8</v>
      </c>
      <c r="S67">
        <v>9.6</v>
      </c>
      <c r="T67">
        <v>90.9</v>
      </c>
    </row>
    <row r="68" spans="1:20" x14ac:dyDescent="0.2">
      <c r="A68" t="s">
        <v>105</v>
      </c>
      <c r="B68">
        <v>3438</v>
      </c>
      <c r="C68">
        <v>66697</v>
      </c>
      <c r="D68">
        <v>0.37</v>
      </c>
      <c r="E68">
        <v>18.912099999999999</v>
      </c>
      <c r="F68">
        <v>1.8</v>
      </c>
      <c r="G68">
        <v>0.39369999999999999</v>
      </c>
      <c r="H68">
        <v>2.9</v>
      </c>
      <c r="I68">
        <v>5.4024999999999997E-2</v>
      </c>
      <c r="J68">
        <v>2.2999999999999998</v>
      </c>
      <c r="K68">
        <v>0.78500000000000003</v>
      </c>
      <c r="L68">
        <v>339.2</v>
      </c>
      <c r="M68">
        <v>7.6</v>
      </c>
      <c r="N68">
        <v>337.1</v>
      </c>
      <c r="O68">
        <v>8.4</v>
      </c>
      <c r="P68">
        <v>322.5</v>
      </c>
      <c r="Q68">
        <v>41.2</v>
      </c>
      <c r="R68" s="1">
        <v>339.2</v>
      </c>
      <c r="S68">
        <v>7.6</v>
      </c>
      <c r="T68">
        <v>105.2</v>
      </c>
    </row>
    <row r="69" spans="1:20" x14ac:dyDescent="0.2">
      <c r="A69" t="s">
        <v>106</v>
      </c>
      <c r="B69">
        <v>730</v>
      </c>
      <c r="C69">
        <v>30713</v>
      </c>
      <c r="D69">
        <v>0.79</v>
      </c>
      <c r="E69">
        <v>17.062999999999999</v>
      </c>
      <c r="F69">
        <v>5.4</v>
      </c>
      <c r="G69">
        <v>0.43779000000000001</v>
      </c>
      <c r="H69">
        <v>6</v>
      </c>
      <c r="I69">
        <v>5.4202E-2</v>
      </c>
      <c r="J69">
        <v>2.5</v>
      </c>
      <c r="K69">
        <v>0.42599999999999999</v>
      </c>
      <c r="L69">
        <v>340.3</v>
      </c>
      <c r="M69">
        <v>8.4</v>
      </c>
      <c r="N69">
        <v>368.7</v>
      </c>
      <c r="O69">
        <v>18.399999999999999</v>
      </c>
      <c r="P69">
        <v>551.5</v>
      </c>
      <c r="Q69">
        <v>117.6</v>
      </c>
      <c r="R69" s="1">
        <v>340.3</v>
      </c>
      <c r="S69">
        <v>8.4</v>
      </c>
      <c r="T69">
        <v>61.7</v>
      </c>
    </row>
    <row r="70" spans="1:20" x14ac:dyDescent="0.2">
      <c r="A70" t="s">
        <v>107</v>
      </c>
      <c r="B70">
        <v>722</v>
      </c>
      <c r="C70">
        <v>637664</v>
      </c>
      <c r="D70">
        <v>0.73</v>
      </c>
      <c r="E70">
        <v>18.5868</v>
      </c>
      <c r="F70">
        <v>2.8</v>
      </c>
      <c r="G70">
        <v>0.38488</v>
      </c>
      <c r="H70">
        <v>4.0999999999999996</v>
      </c>
      <c r="I70">
        <v>5.1907000000000002E-2</v>
      </c>
      <c r="J70">
        <v>3</v>
      </c>
      <c r="K70">
        <v>0.72899999999999998</v>
      </c>
      <c r="L70">
        <v>326.2</v>
      </c>
      <c r="M70">
        <v>9.5</v>
      </c>
      <c r="N70">
        <v>330.6</v>
      </c>
      <c r="O70">
        <v>11.5</v>
      </c>
      <c r="P70">
        <v>361.7</v>
      </c>
      <c r="Q70">
        <v>63</v>
      </c>
      <c r="R70" s="1">
        <v>326.2</v>
      </c>
      <c r="S70">
        <v>9.5</v>
      </c>
      <c r="T70">
        <v>90.2</v>
      </c>
    </row>
    <row r="71" spans="1:20" x14ac:dyDescent="0.2">
      <c r="A71" t="s">
        <v>108</v>
      </c>
      <c r="B71">
        <v>1157</v>
      </c>
      <c r="C71">
        <v>35221</v>
      </c>
      <c r="D71">
        <v>0.75</v>
      </c>
      <c r="E71">
        <v>18.533999999999999</v>
      </c>
      <c r="F71">
        <v>3.6</v>
      </c>
      <c r="G71">
        <v>0.39158999999999999</v>
      </c>
      <c r="H71">
        <v>4.3</v>
      </c>
      <c r="I71">
        <v>5.2662E-2</v>
      </c>
      <c r="J71">
        <v>2.4</v>
      </c>
      <c r="K71">
        <v>0.56100000000000005</v>
      </c>
      <c r="L71">
        <v>330.8</v>
      </c>
      <c r="M71">
        <v>7.8</v>
      </c>
      <c r="N71">
        <v>335.5</v>
      </c>
      <c r="O71">
        <v>12.3</v>
      </c>
      <c r="P71">
        <v>368.1</v>
      </c>
      <c r="Q71">
        <v>80.3</v>
      </c>
      <c r="R71" s="1">
        <v>330.8</v>
      </c>
      <c r="S71">
        <v>7.8</v>
      </c>
      <c r="T71">
        <v>89.9</v>
      </c>
    </row>
    <row r="72" spans="1:20" x14ac:dyDescent="0.2">
      <c r="A72" t="s">
        <v>109</v>
      </c>
      <c r="B72">
        <v>3912</v>
      </c>
      <c r="C72">
        <v>43462</v>
      </c>
      <c r="D72">
        <v>0.36</v>
      </c>
      <c r="E72">
        <v>18.068899999999999</v>
      </c>
      <c r="F72">
        <v>4.4000000000000004</v>
      </c>
      <c r="G72">
        <v>0.39356999999999998</v>
      </c>
      <c r="H72">
        <v>4.9000000000000004</v>
      </c>
      <c r="I72">
        <v>5.1598999999999999E-2</v>
      </c>
      <c r="J72">
        <v>2.2999999999999998</v>
      </c>
      <c r="K72">
        <v>0.46200000000000002</v>
      </c>
      <c r="L72">
        <v>324.3</v>
      </c>
      <c r="M72">
        <v>7.2</v>
      </c>
      <c r="N72">
        <v>337</v>
      </c>
      <c r="O72">
        <v>14.1</v>
      </c>
      <c r="P72">
        <v>425.1</v>
      </c>
      <c r="Q72">
        <v>97.3</v>
      </c>
      <c r="R72" s="1">
        <v>324.3</v>
      </c>
      <c r="S72">
        <v>7.2</v>
      </c>
      <c r="T72">
        <v>76.3</v>
      </c>
    </row>
    <row r="73" spans="1:20" x14ac:dyDescent="0.2">
      <c r="A73" t="s">
        <v>110</v>
      </c>
      <c r="B73">
        <v>2636</v>
      </c>
      <c r="C73">
        <v>24065</v>
      </c>
      <c r="D73">
        <v>0.96</v>
      </c>
      <c r="E73">
        <v>16.478200000000001</v>
      </c>
      <c r="F73">
        <v>7.2</v>
      </c>
      <c r="G73">
        <v>0.43226999999999999</v>
      </c>
      <c r="H73">
        <v>8.6</v>
      </c>
      <c r="I73">
        <v>5.1684000000000001E-2</v>
      </c>
      <c r="J73">
        <v>4.5999999999999996</v>
      </c>
      <c r="K73">
        <v>0.53600000000000003</v>
      </c>
      <c r="L73">
        <v>324.89999999999998</v>
      </c>
      <c r="M73">
        <v>14.5</v>
      </c>
      <c r="N73">
        <v>364.8</v>
      </c>
      <c r="O73">
        <v>26.2</v>
      </c>
      <c r="P73">
        <v>627.1</v>
      </c>
      <c r="Q73">
        <v>155.69999999999999</v>
      </c>
      <c r="R73" s="1">
        <v>324.89999999999998</v>
      </c>
      <c r="S73">
        <v>14.5</v>
      </c>
      <c r="T73">
        <v>51.8</v>
      </c>
    </row>
    <row r="74" spans="1:20" x14ac:dyDescent="0.2">
      <c r="A74" t="s">
        <v>111</v>
      </c>
      <c r="B74">
        <v>2200</v>
      </c>
      <c r="C74">
        <v>19902</v>
      </c>
      <c r="D74">
        <v>0.23</v>
      </c>
      <c r="E74">
        <v>18.536899999999999</v>
      </c>
      <c r="F74">
        <v>2.6</v>
      </c>
      <c r="G74">
        <v>0.38128000000000001</v>
      </c>
      <c r="H74">
        <v>5.2</v>
      </c>
      <c r="I74">
        <v>5.1283000000000002E-2</v>
      </c>
      <c r="J74">
        <v>4.5</v>
      </c>
      <c r="K74">
        <v>0.86599999999999999</v>
      </c>
      <c r="L74">
        <v>322.39999999999998</v>
      </c>
      <c r="M74">
        <v>14.2</v>
      </c>
      <c r="N74">
        <v>328</v>
      </c>
      <c r="O74">
        <v>14.6</v>
      </c>
      <c r="P74">
        <v>367.8</v>
      </c>
      <c r="Q74">
        <v>58.9</v>
      </c>
      <c r="R74" s="1">
        <v>322.39999999999998</v>
      </c>
      <c r="S74">
        <v>14.2</v>
      </c>
      <c r="T74">
        <v>87.7</v>
      </c>
    </row>
    <row r="75" spans="1:20" x14ac:dyDescent="0.2">
      <c r="A75" t="s">
        <v>112</v>
      </c>
      <c r="B75">
        <v>1608</v>
      </c>
      <c r="C75">
        <v>16136</v>
      </c>
      <c r="D75">
        <v>0.77</v>
      </c>
      <c r="E75">
        <v>15.906700000000001</v>
      </c>
      <c r="F75">
        <v>8.1999999999999993</v>
      </c>
      <c r="G75">
        <v>0.46616999999999997</v>
      </c>
      <c r="H75">
        <v>8.8000000000000007</v>
      </c>
      <c r="I75">
        <v>5.3803999999999998E-2</v>
      </c>
      <c r="J75">
        <v>3.1</v>
      </c>
      <c r="K75">
        <v>0.35499999999999998</v>
      </c>
      <c r="L75">
        <v>337.8</v>
      </c>
      <c r="M75">
        <v>10.3</v>
      </c>
      <c r="N75">
        <v>388.5</v>
      </c>
      <c r="O75">
        <v>28.4</v>
      </c>
      <c r="P75">
        <v>702.7</v>
      </c>
      <c r="Q75">
        <v>175.2</v>
      </c>
      <c r="R75" s="1">
        <v>337.8</v>
      </c>
      <c r="S75">
        <v>10.3</v>
      </c>
      <c r="T75">
        <v>48.1</v>
      </c>
    </row>
    <row r="77" spans="1:20" x14ac:dyDescent="0.2">
      <c r="R77" s="1">
        <f>AVERAGE(R25:R75)</f>
        <v>333.9764705882352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59A8C-F144-9D4D-91CD-AE8FCAA86432}">
  <dimension ref="A1:BL73"/>
  <sheetViews>
    <sheetView topLeftCell="A40" workbookViewId="0">
      <selection activeCell="R74" sqref="R74"/>
    </sheetView>
  </sheetViews>
  <sheetFormatPr baseColWidth="10" defaultRowHeight="15" x14ac:dyDescent="0.2"/>
  <cols>
    <col min="18" max="18" width="10.83203125" style="1"/>
  </cols>
  <sheetData>
    <row r="1" spans="1:49" x14ac:dyDescent="0.2">
      <c r="A1" t="s">
        <v>0</v>
      </c>
      <c r="W1" t="s">
        <v>207</v>
      </c>
      <c r="X1" t="s">
        <v>226</v>
      </c>
      <c r="Y1" t="s">
        <v>231</v>
      </c>
      <c r="Z1" t="s">
        <v>237</v>
      </c>
      <c r="AA1" t="s">
        <v>243</v>
      </c>
      <c r="AB1" t="s">
        <v>249</v>
      </c>
      <c r="AC1" t="s">
        <v>255</v>
      </c>
      <c r="AD1" t="s">
        <v>261</v>
      </c>
      <c r="AE1" t="s">
        <v>267</v>
      </c>
      <c r="AF1" t="s">
        <v>272</v>
      </c>
      <c r="AG1" t="s">
        <v>277</v>
      </c>
      <c r="AH1" t="s">
        <v>282</v>
      </c>
      <c r="AI1" t="s">
        <v>292</v>
      </c>
      <c r="AJ1" t="s">
        <v>302</v>
      </c>
      <c r="AK1" t="s">
        <v>309</v>
      </c>
      <c r="AL1" t="s">
        <v>314</v>
      </c>
      <c r="AM1" t="s">
        <v>322</v>
      </c>
      <c r="AN1" t="s">
        <v>328</v>
      </c>
      <c r="AO1" t="s">
        <v>334</v>
      </c>
      <c r="AP1" t="s">
        <v>342</v>
      </c>
      <c r="AQ1" t="s">
        <v>347</v>
      </c>
      <c r="AR1" t="s">
        <v>350</v>
      </c>
      <c r="AS1" t="s">
        <v>352</v>
      </c>
      <c r="AT1" t="s">
        <v>431</v>
      </c>
      <c r="AU1" t="s">
        <v>436</v>
      </c>
      <c r="AV1" t="s">
        <v>442</v>
      </c>
      <c r="AW1" t="s">
        <v>447</v>
      </c>
    </row>
    <row r="2" spans="1:49" x14ac:dyDescent="0.2">
      <c r="A2" t="s">
        <v>1</v>
      </c>
      <c r="W2" t="s">
        <v>208</v>
      </c>
      <c r="X2" t="s">
        <v>227</v>
      </c>
      <c r="Y2" t="s">
        <v>232</v>
      </c>
      <c r="Z2" t="s">
        <v>238</v>
      </c>
      <c r="AA2" t="s">
        <v>238</v>
      </c>
      <c r="AB2" t="s">
        <v>238</v>
      </c>
      <c r="AC2" t="s">
        <v>238</v>
      </c>
      <c r="AD2" t="s">
        <v>262</v>
      </c>
      <c r="AE2" t="s">
        <v>268</v>
      </c>
      <c r="AF2" t="s">
        <v>268</v>
      </c>
      <c r="AG2" t="s">
        <v>268</v>
      </c>
      <c r="AH2" t="s">
        <v>268</v>
      </c>
      <c r="AI2" t="s">
        <v>293</v>
      </c>
      <c r="AJ2" t="s">
        <v>303</v>
      </c>
      <c r="AO2" t="s">
        <v>335</v>
      </c>
      <c r="AP2" t="s">
        <v>335</v>
      </c>
      <c r="AQ2" t="s">
        <v>348</v>
      </c>
      <c r="AR2" t="s">
        <v>239</v>
      </c>
      <c r="AS2" t="s">
        <v>245</v>
      </c>
      <c r="AT2" t="s">
        <v>268</v>
      </c>
      <c r="AU2" t="s">
        <v>245</v>
      </c>
      <c r="AV2" t="s">
        <v>245</v>
      </c>
      <c r="AW2" t="s">
        <v>448</v>
      </c>
    </row>
    <row r="3" spans="1:49" x14ac:dyDescent="0.2">
      <c r="A3" t="s">
        <v>2</v>
      </c>
      <c r="W3" t="s">
        <v>209</v>
      </c>
      <c r="Z3" t="s">
        <v>239</v>
      </c>
      <c r="AA3" t="s">
        <v>245</v>
      </c>
      <c r="AD3" t="s">
        <v>263</v>
      </c>
      <c r="AE3" t="s">
        <v>245</v>
      </c>
      <c r="AH3" t="s">
        <v>284</v>
      </c>
      <c r="AI3" t="s">
        <v>263</v>
      </c>
      <c r="AJ3" t="s">
        <v>245</v>
      </c>
      <c r="AK3" t="s">
        <v>245</v>
      </c>
      <c r="AL3" t="s">
        <v>245</v>
      </c>
      <c r="AM3" t="s">
        <v>238</v>
      </c>
      <c r="AN3" t="s">
        <v>329</v>
      </c>
    </row>
    <row r="4" spans="1:49" x14ac:dyDescent="0.2">
      <c r="A4" t="s">
        <v>3</v>
      </c>
      <c r="W4" t="s">
        <v>210</v>
      </c>
      <c r="AB4" t="s">
        <v>245</v>
      </c>
      <c r="AC4" t="s">
        <v>245</v>
      </c>
      <c r="AD4" t="s">
        <v>245</v>
      </c>
      <c r="AE4" t="s">
        <v>245</v>
      </c>
      <c r="AF4" t="s">
        <v>239</v>
      </c>
      <c r="AG4" t="s">
        <v>263</v>
      </c>
      <c r="AH4" t="s">
        <v>245</v>
      </c>
      <c r="AI4" t="s">
        <v>245</v>
      </c>
      <c r="AJ4" t="s">
        <v>305</v>
      </c>
      <c r="AK4" t="s">
        <v>245</v>
      </c>
      <c r="AL4" t="s">
        <v>245</v>
      </c>
      <c r="AM4" t="s">
        <v>284</v>
      </c>
      <c r="AN4" t="s">
        <v>330</v>
      </c>
    </row>
    <row r="5" spans="1:49" x14ac:dyDescent="0.2">
      <c r="A5" t="s">
        <v>4</v>
      </c>
      <c r="B5" t="s">
        <v>160</v>
      </c>
    </row>
    <row r="6" spans="1:49" x14ac:dyDescent="0.2">
      <c r="A6" t="s">
        <v>5</v>
      </c>
      <c r="B6" t="s">
        <v>161</v>
      </c>
    </row>
    <row r="7" spans="1:49" x14ac:dyDescent="0.2">
      <c r="A7" t="s">
        <v>6</v>
      </c>
      <c r="X7" t="s">
        <v>228</v>
      </c>
      <c r="Y7" t="s">
        <v>233</v>
      </c>
      <c r="Z7" t="s">
        <v>240</v>
      </c>
      <c r="AA7" t="s">
        <v>246</v>
      </c>
      <c r="AB7" t="s">
        <v>252</v>
      </c>
      <c r="AC7" t="s">
        <v>258</v>
      </c>
      <c r="AI7" t="s">
        <v>296</v>
      </c>
      <c r="AJ7" t="s">
        <v>306</v>
      </c>
      <c r="AK7" t="s">
        <v>311</v>
      </c>
      <c r="AL7" t="s">
        <v>316</v>
      </c>
      <c r="AM7" t="s">
        <v>325</v>
      </c>
      <c r="AN7" t="s">
        <v>331</v>
      </c>
      <c r="AO7" t="s">
        <v>336</v>
      </c>
      <c r="AP7" t="s">
        <v>344</v>
      </c>
      <c r="AQ7" t="s">
        <v>349</v>
      </c>
      <c r="AT7" t="s">
        <v>433</v>
      </c>
      <c r="AU7" t="s">
        <v>438</v>
      </c>
      <c r="AV7" t="s">
        <v>444</v>
      </c>
    </row>
    <row r="8" spans="1:49" x14ac:dyDescent="0.2">
      <c r="A8" t="s">
        <v>7</v>
      </c>
      <c r="W8" t="s">
        <v>211</v>
      </c>
      <c r="X8">
        <v>0.8</v>
      </c>
      <c r="Y8">
        <v>0.28000000000000003</v>
      </c>
      <c r="Z8">
        <v>0.2</v>
      </c>
      <c r="AA8">
        <v>0</v>
      </c>
      <c r="AB8">
        <v>0.2</v>
      </c>
      <c r="AC8">
        <v>5.2999999999999999E-2</v>
      </c>
      <c r="AH8" t="s">
        <v>286</v>
      </c>
      <c r="AI8" t="s">
        <v>297</v>
      </c>
      <c r="AJ8">
        <v>5.3</v>
      </c>
      <c r="AK8">
        <v>0.4</v>
      </c>
      <c r="AL8" t="s">
        <v>317</v>
      </c>
      <c r="AM8">
        <v>7.8</v>
      </c>
      <c r="AN8">
        <v>0.3</v>
      </c>
      <c r="AO8" t="s">
        <v>337</v>
      </c>
      <c r="AP8">
        <v>11.5</v>
      </c>
      <c r="AQ8">
        <v>0.7</v>
      </c>
      <c r="AS8" t="s">
        <v>354</v>
      </c>
      <c r="AT8">
        <v>0.6</v>
      </c>
      <c r="AU8">
        <v>1.5</v>
      </c>
      <c r="AV8">
        <v>0.6</v>
      </c>
    </row>
    <row r="9" spans="1:49" x14ac:dyDescent="0.2">
      <c r="A9" t="s">
        <v>8</v>
      </c>
      <c r="B9" t="s">
        <v>162</v>
      </c>
      <c r="W9" t="s">
        <v>212</v>
      </c>
      <c r="X9">
        <v>0.71</v>
      </c>
      <c r="Y9">
        <v>0.2</v>
      </c>
      <c r="Z9">
        <v>0.2</v>
      </c>
      <c r="AA9">
        <v>1.2E-2</v>
      </c>
      <c r="AB9">
        <v>0.2</v>
      </c>
      <c r="AC9">
        <v>0.09</v>
      </c>
      <c r="AH9" t="s">
        <v>287</v>
      </c>
      <c r="AI9" t="s">
        <v>298</v>
      </c>
      <c r="AJ9">
        <v>2.4</v>
      </c>
      <c r="AK9">
        <v>0.2</v>
      </c>
      <c r="AL9" t="s">
        <v>318</v>
      </c>
      <c r="AM9">
        <v>8.4</v>
      </c>
      <c r="AN9">
        <v>0.6</v>
      </c>
      <c r="AO9" t="s">
        <v>338</v>
      </c>
      <c r="AP9">
        <v>7.5</v>
      </c>
      <c r="AQ9">
        <v>0.5</v>
      </c>
    </row>
    <row r="10" spans="1:49" x14ac:dyDescent="0.2">
      <c r="A10" t="s">
        <v>9</v>
      </c>
      <c r="B10">
        <v>0.8</v>
      </c>
      <c r="W10" t="s">
        <v>213</v>
      </c>
      <c r="X10">
        <v>3.91</v>
      </c>
      <c r="Y10">
        <v>1.82</v>
      </c>
      <c r="Z10">
        <v>0.5</v>
      </c>
      <c r="AA10">
        <v>7.5999999999999998E-2</v>
      </c>
      <c r="AB10">
        <v>0.5</v>
      </c>
      <c r="AC10">
        <v>0.5</v>
      </c>
      <c r="AH10" t="s">
        <v>288</v>
      </c>
      <c r="AI10" t="s">
        <v>299</v>
      </c>
      <c r="AJ10">
        <v>4.3</v>
      </c>
      <c r="AK10">
        <v>2.7</v>
      </c>
      <c r="AL10" t="s">
        <v>319</v>
      </c>
      <c r="AM10">
        <v>21.6</v>
      </c>
      <c r="AN10">
        <v>0.6</v>
      </c>
      <c r="AO10" t="s">
        <v>339</v>
      </c>
      <c r="AP10">
        <v>9.8000000000000007</v>
      </c>
      <c r="AQ10">
        <v>1.5</v>
      </c>
    </row>
    <row r="11" spans="1:49" x14ac:dyDescent="0.2">
      <c r="A11" t="s">
        <v>10</v>
      </c>
      <c r="B11">
        <v>0.71</v>
      </c>
    </row>
    <row r="12" spans="1:49" x14ac:dyDescent="0.2">
      <c r="A12" t="s">
        <v>11</v>
      </c>
      <c r="B12">
        <v>3.91</v>
      </c>
    </row>
    <row r="13" spans="1:49" x14ac:dyDescent="0.2">
      <c r="A13" t="s">
        <v>12</v>
      </c>
    </row>
    <row r="14" spans="1:49" x14ac:dyDescent="0.2">
      <c r="A14" t="s">
        <v>13</v>
      </c>
      <c r="B14" t="s">
        <v>163</v>
      </c>
    </row>
    <row r="15" spans="1:49" x14ac:dyDescent="0.2">
      <c r="A15" t="s">
        <v>14</v>
      </c>
    </row>
    <row r="16" spans="1:49" x14ac:dyDescent="0.2">
      <c r="A16" t="s">
        <v>15</v>
      </c>
    </row>
    <row r="17" spans="1:64" x14ac:dyDescent="0.2">
      <c r="A17" t="s">
        <v>16</v>
      </c>
      <c r="B17" t="s">
        <v>164</v>
      </c>
    </row>
    <row r="18" spans="1:64" x14ac:dyDescent="0.2">
      <c r="A18" t="s">
        <v>17</v>
      </c>
      <c r="B18" t="s">
        <v>165</v>
      </c>
    </row>
    <row r="19" spans="1:64" x14ac:dyDescent="0.2">
      <c r="B19" t="s">
        <v>166</v>
      </c>
    </row>
    <row r="21" spans="1:64" x14ac:dyDescent="0.2">
      <c r="A21" t="s">
        <v>18</v>
      </c>
      <c r="C21" t="s">
        <v>169</v>
      </c>
      <c r="L21" t="s">
        <v>188</v>
      </c>
      <c r="W21" t="s">
        <v>214</v>
      </c>
      <c r="Y21" t="s">
        <v>169</v>
      </c>
      <c r="AH21" t="s">
        <v>188</v>
      </c>
      <c r="AS21" t="s">
        <v>355</v>
      </c>
      <c r="AU21" t="s">
        <v>169</v>
      </c>
      <c r="BD21" t="s">
        <v>188</v>
      </c>
    </row>
    <row r="23" spans="1:64" x14ac:dyDescent="0.2">
      <c r="A23" t="s">
        <v>19</v>
      </c>
      <c r="B23" t="s">
        <v>167</v>
      </c>
      <c r="C23" t="s">
        <v>170</v>
      </c>
      <c r="D23" t="s">
        <v>172</v>
      </c>
      <c r="E23" t="s">
        <v>174</v>
      </c>
      <c r="F23" t="s">
        <v>176</v>
      </c>
      <c r="G23" t="s">
        <v>175</v>
      </c>
      <c r="H23" t="s">
        <v>176</v>
      </c>
      <c r="I23" t="s">
        <v>174</v>
      </c>
      <c r="J23" t="s">
        <v>176</v>
      </c>
      <c r="K23" t="s">
        <v>186</v>
      </c>
      <c r="L23" t="s">
        <v>174</v>
      </c>
      <c r="M23" t="s">
        <v>176</v>
      </c>
      <c r="N23" t="s">
        <v>175</v>
      </c>
      <c r="O23" t="s">
        <v>176</v>
      </c>
      <c r="P23" t="s">
        <v>174</v>
      </c>
      <c r="Q23" t="s">
        <v>176</v>
      </c>
      <c r="R23" s="1" t="s">
        <v>201</v>
      </c>
      <c r="S23" t="s">
        <v>176</v>
      </c>
      <c r="T23" t="s">
        <v>205</v>
      </c>
      <c r="W23" t="s">
        <v>19</v>
      </c>
      <c r="X23" t="s">
        <v>167</v>
      </c>
      <c r="Y23" t="s">
        <v>170</v>
      </c>
      <c r="Z23" t="s">
        <v>172</v>
      </c>
      <c r="AA23" t="s">
        <v>174</v>
      </c>
      <c r="AB23" t="s">
        <v>176</v>
      </c>
      <c r="AC23" t="s">
        <v>175</v>
      </c>
      <c r="AD23" t="s">
        <v>176</v>
      </c>
      <c r="AE23" t="s">
        <v>174</v>
      </c>
      <c r="AF23" t="s">
        <v>176</v>
      </c>
      <c r="AG23" t="s">
        <v>186</v>
      </c>
      <c r="AH23" t="s">
        <v>174</v>
      </c>
      <c r="AI23" t="s">
        <v>176</v>
      </c>
      <c r="AJ23" t="s">
        <v>175</v>
      </c>
      <c r="AK23" t="s">
        <v>176</v>
      </c>
      <c r="AL23" t="s">
        <v>174</v>
      </c>
      <c r="AM23" t="s">
        <v>176</v>
      </c>
      <c r="AN23" t="s">
        <v>201</v>
      </c>
      <c r="AO23" t="s">
        <v>176</v>
      </c>
      <c r="AP23" t="s">
        <v>205</v>
      </c>
      <c r="AS23" t="s">
        <v>19</v>
      </c>
      <c r="AT23" t="s">
        <v>167</v>
      </c>
      <c r="AU23" t="s">
        <v>170</v>
      </c>
      <c r="AV23" t="s">
        <v>172</v>
      </c>
      <c r="AW23" t="s">
        <v>174</v>
      </c>
      <c r="AX23" t="s">
        <v>176</v>
      </c>
      <c r="AY23" t="s">
        <v>175</v>
      </c>
      <c r="AZ23" t="s">
        <v>176</v>
      </c>
      <c r="BA23" t="s">
        <v>174</v>
      </c>
      <c r="BB23" t="s">
        <v>176</v>
      </c>
      <c r="BC23" t="s">
        <v>186</v>
      </c>
      <c r="BD23" t="s">
        <v>174</v>
      </c>
      <c r="BE23" t="s">
        <v>176</v>
      </c>
      <c r="BF23" t="s">
        <v>175</v>
      </c>
      <c r="BG23" t="s">
        <v>176</v>
      </c>
      <c r="BH23" t="s">
        <v>174</v>
      </c>
      <c r="BI23" t="s">
        <v>176</v>
      </c>
      <c r="BJ23" t="s">
        <v>201</v>
      </c>
      <c r="BK23" t="s">
        <v>176</v>
      </c>
      <c r="BL23" t="s">
        <v>205</v>
      </c>
    </row>
    <row r="24" spans="1:64" x14ac:dyDescent="0.2">
      <c r="B24" t="s">
        <v>168</v>
      </c>
      <c r="C24" t="s">
        <v>171</v>
      </c>
      <c r="D24" t="s">
        <v>173</v>
      </c>
      <c r="E24" t="s">
        <v>175</v>
      </c>
      <c r="F24" t="s">
        <v>177</v>
      </c>
      <c r="G24" t="s">
        <v>179</v>
      </c>
      <c r="H24" t="s">
        <v>177</v>
      </c>
      <c r="I24" t="s">
        <v>183</v>
      </c>
      <c r="J24" t="s">
        <v>177</v>
      </c>
      <c r="K24" t="s">
        <v>187</v>
      </c>
      <c r="L24" t="s">
        <v>183</v>
      </c>
      <c r="M24" t="s">
        <v>192</v>
      </c>
      <c r="N24" t="s">
        <v>179</v>
      </c>
      <c r="O24" t="s">
        <v>192</v>
      </c>
      <c r="P24" t="s">
        <v>175</v>
      </c>
      <c r="Q24" t="s">
        <v>192</v>
      </c>
      <c r="R24" s="1" t="s">
        <v>192</v>
      </c>
      <c r="S24" t="s">
        <v>192</v>
      </c>
      <c r="T24" t="s">
        <v>177</v>
      </c>
      <c r="X24" t="s">
        <v>168</v>
      </c>
      <c r="Y24" t="s">
        <v>171</v>
      </c>
      <c r="Z24" t="s">
        <v>173</v>
      </c>
      <c r="AA24" t="s">
        <v>175</v>
      </c>
      <c r="AB24" t="s">
        <v>177</v>
      </c>
      <c r="AC24" t="s">
        <v>179</v>
      </c>
      <c r="AD24" t="s">
        <v>177</v>
      </c>
      <c r="AE24" t="s">
        <v>183</v>
      </c>
      <c r="AF24" t="s">
        <v>177</v>
      </c>
      <c r="AG24" t="s">
        <v>187</v>
      </c>
      <c r="AH24" t="s">
        <v>183</v>
      </c>
      <c r="AI24" t="s">
        <v>192</v>
      </c>
      <c r="AJ24" t="s">
        <v>179</v>
      </c>
      <c r="AK24" t="s">
        <v>192</v>
      </c>
      <c r="AL24" t="s">
        <v>175</v>
      </c>
      <c r="AM24" t="s">
        <v>192</v>
      </c>
      <c r="AN24" t="s">
        <v>192</v>
      </c>
      <c r="AO24" t="s">
        <v>192</v>
      </c>
      <c r="AP24" t="s">
        <v>177</v>
      </c>
      <c r="AT24" t="s">
        <v>168</v>
      </c>
      <c r="AU24" t="s">
        <v>171</v>
      </c>
      <c r="AV24" t="s">
        <v>173</v>
      </c>
      <c r="AW24" t="s">
        <v>175</v>
      </c>
      <c r="AX24" t="s">
        <v>177</v>
      </c>
      <c r="AY24" t="s">
        <v>179</v>
      </c>
      <c r="AZ24" t="s">
        <v>177</v>
      </c>
      <c r="BA24" t="s">
        <v>183</v>
      </c>
      <c r="BB24" t="s">
        <v>177</v>
      </c>
      <c r="BC24" t="s">
        <v>187</v>
      </c>
      <c r="BD24" t="s">
        <v>183</v>
      </c>
      <c r="BE24" t="s">
        <v>192</v>
      </c>
      <c r="BF24" t="s">
        <v>179</v>
      </c>
      <c r="BG24" t="s">
        <v>192</v>
      </c>
      <c r="BH24" t="s">
        <v>175</v>
      </c>
      <c r="BI24" t="s">
        <v>192</v>
      </c>
      <c r="BJ24" t="s">
        <v>192</v>
      </c>
      <c r="BK24" t="s">
        <v>192</v>
      </c>
      <c r="BL24" t="s">
        <v>177</v>
      </c>
    </row>
    <row r="25" spans="1:64" x14ac:dyDescent="0.2">
      <c r="A25" t="s">
        <v>113</v>
      </c>
      <c r="B25">
        <v>319</v>
      </c>
      <c r="C25">
        <v>5605</v>
      </c>
      <c r="D25">
        <v>3.28</v>
      </c>
      <c r="E25">
        <v>19.488600000000002</v>
      </c>
      <c r="F25">
        <v>8.1999999999999993</v>
      </c>
      <c r="G25">
        <v>0.30506</v>
      </c>
      <c r="H25">
        <v>9.8000000000000007</v>
      </c>
      <c r="I25">
        <v>4.3138000000000003E-2</v>
      </c>
      <c r="J25">
        <v>5.3</v>
      </c>
      <c r="K25">
        <v>0.54600000000000004</v>
      </c>
      <c r="L25">
        <v>272.3</v>
      </c>
      <c r="M25">
        <v>14.2</v>
      </c>
      <c r="N25">
        <v>270.3</v>
      </c>
      <c r="O25">
        <v>23.2</v>
      </c>
      <c r="P25">
        <v>253.8</v>
      </c>
      <c r="Q25">
        <v>188.2</v>
      </c>
      <c r="R25" s="1">
        <v>272.3</v>
      </c>
      <c r="S25">
        <v>14.2</v>
      </c>
      <c r="T25">
        <v>107.3</v>
      </c>
    </row>
    <row r="26" spans="1:64" x14ac:dyDescent="0.2">
      <c r="A26" t="s">
        <v>114</v>
      </c>
      <c r="B26">
        <v>274</v>
      </c>
      <c r="C26">
        <v>7059</v>
      </c>
      <c r="D26">
        <v>1.8</v>
      </c>
      <c r="E26">
        <v>19.680299999999999</v>
      </c>
      <c r="F26">
        <v>7.9</v>
      </c>
      <c r="G26">
        <v>0.29636000000000001</v>
      </c>
      <c r="H26">
        <v>9.1</v>
      </c>
      <c r="I26">
        <v>4.2319000000000002E-2</v>
      </c>
      <c r="J26">
        <v>4.5</v>
      </c>
      <c r="K26">
        <v>0.49</v>
      </c>
      <c r="L26">
        <v>267.2</v>
      </c>
      <c r="M26">
        <v>11.7</v>
      </c>
      <c r="N26">
        <v>263.5</v>
      </c>
      <c r="O26">
        <v>21.2</v>
      </c>
      <c r="P26">
        <v>231.3</v>
      </c>
      <c r="Q26">
        <v>183.7</v>
      </c>
      <c r="R26" s="1">
        <v>267.2</v>
      </c>
      <c r="S26">
        <v>11.7</v>
      </c>
      <c r="T26">
        <v>115.5</v>
      </c>
    </row>
    <row r="27" spans="1:64" x14ac:dyDescent="0.2">
      <c r="A27" t="s">
        <v>115</v>
      </c>
      <c r="B27">
        <v>385</v>
      </c>
      <c r="C27">
        <v>7414</v>
      </c>
      <c r="D27">
        <v>0.64</v>
      </c>
      <c r="E27">
        <v>16.302600000000002</v>
      </c>
      <c r="F27">
        <v>19.5</v>
      </c>
      <c r="G27">
        <v>0.35377999999999998</v>
      </c>
      <c r="H27">
        <v>19.899999999999999</v>
      </c>
      <c r="I27">
        <v>4.1848000000000003E-2</v>
      </c>
      <c r="J27">
        <v>4</v>
      </c>
      <c r="K27">
        <v>0.2</v>
      </c>
      <c r="L27">
        <v>264.3</v>
      </c>
      <c r="M27">
        <v>10.3</v>
      </c>
      <c r="N27">
        <v>307.60000000000002</v>
      </c>
      <c r="O27">
        <v>52.8</v>
      </c>
      <c r="P27">
        <v>650.20000000000005</v>
      </c>
      <c r="Q27">
        <v>419.6</v>
      </c>
      <c r="R27" s="1">
        <v>264.3</v>
      </c>
      <c r="S27">
        <v>10.3</v>
      </c>
      <c r="T27">
        <v>40.6</v>
      </c>
    </row>
    <row r="28" spans="1:64" x14ac:dyDescent="0.2">
      <c r="A28" t="s">
        <v>116</v>
      </c>
      <c r="B28">
        <v>249</v>
      </c>
      <c r="C28">
        <v>6006</v>
      </c>
      <c r="D28">
        <v>2.6</v>
      </c>
      <c r="E28">
        <v>19.761800000000001</v>
      </c>
      <c r="F28">
        <v>8.3000000000000007</v>
      </c>
      <c r="G28">
        <v>0.30542000000000002</v>
      </c>
      <c r="H28">
        <v>8.8000000000000007</v>
      </c>
      <c r="I28">
        <v>4.3795000000000001E-2</v>
      </c>
      <c r="J28">
        <v>2.9</v>
      </c>
      <c r="K28">
        <v>0.32700000000000001</v>
      </c>
      <c r="L28">
        <v>276.3</v>
      </c>
      <c r="M28">
        <v>7.8</v>
      </c>
      <c r="N28">
        <v>270.60000000000002</v>
      </c>
      <c r="O28">
        <v>20.9</v>
      </c>
      <c r="P28">
        <v>221.8</v>
      </c>
      <c r="Q28">
        <v>192.7</v>
      </c>
      <c r="R28" s="1">
        <v>276.3</v>
      </c>
      <c r="S28">
        <v>7.8</v>
      </c>
      <c r="T28">
        <v>124.6</v>
      </c>
    </row>
    <row r="29" spans="1:64" x14ac:dyDescent="0.2">
      <c r="A29" t="s">
        <v>117</v>
      </c>
      <c r="B29">
        <v>1052</v>
      </c>
      <c r="C29">
        <v>138129</v>
      </c>
      <c r="D29">
        <v>10.4</v>
      </c>
      <c r="E29">
        <v>18.777799999999999</v>
      </c>
      <c r="F29">
        <v>2.4</v>
      </c>
      <c r="G29">
        <v>0.39849000000000001</v>
      </c>
      <c r="H29">
        <v>3.6</v>
      </c>
      <c r="I29">
        <v>5.4294000000000002E-2</v>
      </c>
      <c r="J29">
        <v>2.6</v>
      </c>
      <c r="K29">
        <v>0.74299999999999999</v>
      </c>
      <c r="L29">
        <v>340.8</v>
      </c>
      <c r="M29">
        <v>8.8000000000000007</v>
      </c>
      <c r="N29">
        <v>340.6</v>
      </c>
      <c r="O29">
        <v>10.3</v>
      </c>
      <c r="P29">
        <v>338.6</v>
      </c>
      <c r="Q29">
        <v>53.8</v>
      </c>
      <c r="R29" s="1">
        <v>340.8</v>
      </c>
      <c r="S29">
        <v>8.8000000000000007</v>
      </c>
      <c r="T29">
        <v>100.6</v>
      </c>
    </row>
    <row r="30" spans="1:64" x14ac:dyDescent="0.2">
      <c r="A30" t="s">
        <v>118</v>
      </c>
      <c r="B30">
        <v>660</v>
      </c>
      <c r="C30">
        <v>15867</v>
      </c>
      <c r="D30">
        <v>0.63</v>
      </c>
      <c r="E30">
        <v>19.210699999999999</v>
      </c>
      <c r="F30">
        <v>4.0999999999999996</v>
      </c>
      <c r="G30">
        <v>0.31097999999999998</v>
      </c>
      <c r="H30">
        <v>5.0999999999999996</v>
      </c>
      <c r="I30">
        <v>4.3347999999999998E-2</v>
      </c>
      <c r="J30">
        <v>3.1</v>
      </c>
      <c r="K30">
        <v>0.60099999999999998</v>
      </c>
      <c r="L30">
        <v>273.60000000000002</v>
      </c>
      <c r="M30">
        <v>8.1999999999999993</v>
      </c>
      <c r="N30">
        <v>274.89999999999998</v>
      </c>
      <c r="O30">
        <v>12.2</v>
      </c>
      <c r="P30">
        <v>286.7</v>
      </c>
      <c r="Q30">
        <v>92.7</v>
      </c>
      <c r="R30" s="1">
        <v>273.60000000000002</v>
      </c>
      <c r="S30">
        <v>8.1999999999999993</v>
      </c>
      <c r="T30">
        <v>95.4</v>
      </c>
    </row>
    <row r="31" spans="1:64" x14ac:dyDescent="0.2">
      <c r="A31" t="s">
        <v>119</v>
      </c>
      <c r="B31">
        <v>327</v>
      </c>
      <c r="C31">
        <v>12506</v>
      </c>
      <c r="D31">
        <v>3.11</v>
      </c>
      <c r="E31">
        <v>18.9556</v>
      </c>
      <c r="F31">
        <v>5.2</v>
      </c>
      <c r="G31">
        <v>0.31594</v>
      </c>
      <c r="H31">
        <v>6.7</v>
      </c>
      <c r="I31">
        <v>4.3454E-2</v>
      </c>
      <c r="J31">
        <v>4.2</v>
      </c>
      <c r="K31">
        <v>0.621</v>
      </c>
      <c r="L31">
        <v>274.2</v>
      </c>
      <c r="M31">
        <v>11.2</v>
      </c>
      <c r="N31">
        <v>278.8</v>
      </c>
      <c r="O31">
        <v>16.3</v>
      </c>
      <c r="P31">
        <v>317.2</v>
      </c>
      <c r="Q31">
        <v>119.2</v>
      </c>
      <c r="R31" s="1">
        <v>274.2</v>
      </c>
      <c r="S31">
        <v>11.2</v>
      </c>
      <c r="T31">
        <v>86.4</v>
      </c>
    </row>
    <row r="32" spans="1:64" x14ac:dyDescent="0.2">
      <c r="A32" t="s">
        <v>120</v>
      </c>
      <c r="B32">
        <v>512</v>
      </c>
      <c r="C32">
        <v>12755</v>
      </c>
      <c r="D32">
        <v>0.74</v>
      </c>
      <c r="E32">
        <v>19.207100000000001</v>
      </c>
      <c r="F32">
        <v>5.0999999999999996</v>
      </c>
      <c r="G32">
        <v>0.30895</v>
      </c>
      <c r="H32">
        <v>5.7</v>
      </c>
      <c r="I32">
        <v>4.3056999999999998E-2</v>
      </c>
      <c r="J32">
        <v>2.6</v>
      </c>
      <c r="K32">
        <v>0.45600000000000002</v>
      </c>
      <c r="L32">
        <v>271.8</v>
      </c>
      <c r="M32">
        <v>6.9</v>
      </c>
      <c r="N32">
        <v>273.39999999999998</v>
      </c>
      <c r="O32">
        <v>13.6</v>
      </c>
      <c r="P32">
        <v>287.2</v>
      </c>
      <c r="Q32">
        <v>115.7</v>
      </c>
      <c r="R32" s="1">
        <v>271.8</v>
      </c>
      <c r="S32">
        <v>6.9</v>
      </c>
      <c r="T32">
        <v>94.6</v>
      </c>
    </row>
    <row r="33" spans="1:20" x14ac:dyDescent="0.2">
      <c r="A33" t="s">
        <v>121</v>
      </c>
      <c r="B33">
        <v>327</v>
      </c>
      <c r="C33">
        <v>1000</v>
      </c>
      <c r="D33">
        <v>0.81</v>
      </c>
      <c r="E33">
        <v>15.5174</v>
      </c>
      <c r="F33">
        <v>35.299999999999997</v>
      </c>
      <c r="G33">
        <v>0.37193999999999999</v>
      </c>
      <c r="H33">
        <v>35.6</v>
      </c>
      <c r="I33">
        <v>4.1877999999999999E-2</v>
      </c>
      <c r="J33">
        <v>4.5</v>
      </c>
      <c r="K33">
        <v>0.128</v>
      </c>
      <c r="L33">
        <v>264.5</v>
      </c>
      <c r="M33">
        <v>11.8</v>
      </c>
      <c r="N33">
        <v>321.10000000000002</v>
      </c>
      <c r="O33">
        <v>98.1</v>
      </c>
      <c r="P33">
        <v>755.3</v>
      </c>
      <c r="Q33">
        <v>750.7</v>
      </c>
      <c r="R33" s="1">
        <v>264.5</v>
      </c>
      <c r="S33">
        <v>11.8</v>
      </c>
      <c r="T33">
        <v>35</v>
      </c>
    </row>
    <row r="34" spans="1:20" x14ac:dyDescent="0.2">
      <c r="A34" t="s">
        <v>122</v>
      </c>
      <c r="B34">
        <v>476</v>
      </c>
      <c r="C34">
        <v>5087</v>
      </c>
      <c r="D34">
        <v>0.6</v>
      </c>
      <c r="E34">
        <v>20.401199999999999</v>
      </c>
      <c r="F34">
        <v>10.199999999999999</v>
      </c>
      <c r="G34">
        <v>0.29006999999999999</v>
      </c>
      <c r="H34">
        <v>10.6</v>
      </c>
      <c r="I34">
        <v>4.2938999999999998E-2</v>
      </c>
      <c r="J34">
        <v>3</v>
      </c>
      <c r="K34">
        <v>0.27900000000000003</v>
      </c>
      <c r="L34">
        <v>271</v>
      </c>
      <c r="M34">
        <v>7.9</v>
      </c>
      <c r="N34">
        <v>258.60000000000002</v>
      </c>
      <c r="O34">
        <v>24.2</v>
      </c>
      <c r="P34">
        <v>147.6</v>
      </c>
      <c r="Q34">
        <v>238.7</v>
      </c>
      <c r="R34" s="1">
        <v>271</v>
      </c>
      <c r="S34">
        <v>7.9</v>
      </c>
      <c r="T34">
        <v>183.6</v>
      </c>
    </row>
    <row r="35" spans="1:20" x14ac:dyDescent="0.2">
      <c r="A35" t="s">
        <v>123</v>
      </c>
      <c r="B35">
        <v>130</v>
      </c>
      <c r="C35">
        <v>9329</v>
      </c>
      <c r="D35">
        <v>0.95</v>
      </c>
      <c r="E35">
        <v>19.6494</v>
      </c>
      <c r="F35">
        <v>6.3</v>
      </c>
      <c r="G35">
        <v>0.30563000000000001</v>
      </c>
      <c r="H35">
        <v>7.6</v>
      </c>
      <c r="I35">
        <v>4.3575999999999997E-2</v>
      </c>
      <c r="J35">
        <v>4.2</v>
      </c>
      <c r="K35">
        <v>0.55500000000000005</v>
      </c>
      <c r="L35">
        <v>275</v>
      </c>
      <c r="M35">
        <v>11.4</v>
      </c>
      <c r="N35">
        <v>270.8</v>
      </c>
      <c r="O35">
        <v>18.100000000000001</v>
      </c>
      <c r="P35">
        <v>234.9</v>
      </c>
      <c r="Q35">
        <v>146.6</v>
      </c>
      <c r="R35" s="1">
        <v>275</v>
      </c>
      <c r="S35">
        <v>11.4</v>
      </c>
      <c r="T35">
        <v>117.1</v>
      </c>
    </row>
    <row r="36" spans="1:20" x14ac:dyDescent="0.2">
      <c r="A36" t="s">
        <v>124</v>
      </c>
      <c r="B36">
        <v>891</v>
      </c>
      <c r="C36">
        <v>21766</v>
      </c>
      <c r="D36">
        <v>0.55000000000000004</v>
      </c>
      <c r="E36">
        <v>19.240200000000002</v>
      </c>
      <c r="F36">
        <v>3.8</v>
      </c>
      <c r="G36">
        <v>0.31036999999999998</v>
      </c>
      <c r="H36">
        <v>4.3</v>
      </c>
      <c r="I36">
        <v>4.333E-2</v>
      </c>
      <c r="J36">
        <v>2.1</v>
      </c>
      <c r="K36">
        <v>0.49099999999999999</v>
      </c>
      <c r="L36">
        <v>273.39999999999998</v>
      </c>
      <c r="M36">
        <v>5.7</v>
      </c>
      <c r="N36">
        <v>274.5</v>
      </c>
      <c r="O36">
        <v>10.4</v>
      </c>
      <c r="P36">
        <v>283.3</v>
      </c>
      <c r="Q36">
        <v>86.2</v>
      </c>
      <c r="R36" s="1">
        <v>273.39999999999998</v>
      </c>
      <c r="S36">
        <v>5.7</v>
      </c>
      <c r="T36">
        <v>96.5</v>
      </c>
    </row>
    <row r="37" spans="1:20" x14ac:dyDescent="0.2">
      <c r="A37" t="s">
        <v>125</v>
      </c>
      <c r="B37">
        <v>1143</v>
      </c>
      <c r="C37">
        <v>20075</v>
      </c>
      <c r="D37">
        <v>0.48</v>
      </c>
      <c r="E37">
        <v>19.436</v>
      </c>
      <c r="F37">
        <v>3.6</v>
      </c>
      <c r="G37">
        <v>0.30929000000000001</v>
      </c>
      <c r="H37">
        <v>4.5</v>
      </c>
      <c r="I37">
        <v>4.3617999999999997E-2</v>
      </c>
      <c r="J37">
        <v>2.7</v>
      </c>
      <c r="K37">
        <v>0.60499999999999998</v>
      </c>
      <c r="L37">
        <v>275.2</v>
      </c>
      <c r="M37">
        <v>7.3</v>
      </c>
      <c r="N37">
        <v>273.60000000000002</v>
      </c>
      <c r="O37">
        <v>10.8</v>
      </c>
      <c r="P37">
        <v>260.10000000000002</v>
      </c>
      <c r="Q37">
        <v>82.1</v>
      </c>
      <c r="R37" s="1">
        <v>275.2</v>
      </c>
      <c r="S37">
        <v>7.3</v>
      </c>
      <c r="T37">
        <v>105.8</v>
      </c>
    </row>
    <row r="38" spans="1:20" x14ac:dyDescent="0.2">
      <c r="A38" t="s">
        <v>126</v>
      </c>
      <c r="B38">
        <v>219</v>
      </c>
      <c r="C38">
        <v>15504</v>
      </c>
      <c r="D38">
        <v>3.21</v>
      </c>
      <c r="E38">
        <v>19.1707</v>
      </c>
      <c r="F38">
        <v>4.5</v>
      </c>
      <c r="G38">
        <v>0.33832000000000001</v>
      </c>
      <c r="H38">
        <v>5.7</v>
      </c>
      <c r="I38">
        <v>4.7060999999999999E-2</v>
      </c>
      <c r="J38">
        <v>3.5</v>
      </c>
      <c r="K38">
        <v>0.61299999999999999</v>
      </c>
      <c r="L38">
        <v>296.5</v>
      </c>
      <c r="M38">
        <v>10.1</v>
      </c>
      <c r="N38">
        <v>295.89999999999998</v>
      </c>
      <c r="O38">
        <v>14.6</v>
      </c>
      <c r="P38">
        <v>291.5</v>
      </c>
      <c r="Q38">
        <v>102.6</v>
      </c>
      <c r="R38" s="1">
        <v>296.5</v>
      </c>
      <c r="S38">
        <v>10.1</v>
      </c>
      <c r="T38">
        <v>101.7</v>
      </c>
    </row>
    <row r="39" spans="1:20" x14ac:dyDescent="0.2">
      <c r="A39" t="s">
        <v>127</v>
      </c>
      <c r="B39">
        <v>3608</v>
      </c>
      <c r="C39">
        <v>65871</v>
      </c>
      <c r="D39">
        <v>20.34</v>
      </c>
      <c r="E39">
        <v>18.581399999999999</v>
      </c>
      <c r="F39">
        <v>2.2999999999999998</v>
      </c>
      <c r="G39">
        <v>0.34650999999999998</v>
      </c>
      <c r="H39">
        <v>3.6</v>
      </c>
      <c r="I39">
        <v>4.6718000000000003E-2</v>
      </c>
      <c r="J39">
        <v>2.8</v>
      </c>
      <c r="K39">
        <v>0.76700000000000002</v>
      </c>
      <c r="L39">
        <v>294.3</v>
      </c>
      <c r="M39">
        <v>8</v>
      </c>
      <c r="N39">
        <v>302.10000000000002</v>
      </c>
      <c r="O39">
        <v>9.5</v>
      </c>
      <c r="P39">
        <v>362.4</v>
      </c>
      <c r="Q39">
        <v>52.6</v>
      </c>
      <c r="R39" s="1">
        <v>294.3</v>
      </c>
      <c r="S39">
        <v>8</v>
      </c>
      <c r="T39">
        <v>81.2</v>
      </c>
    </row>
    <row r="40" spans="1:20" x14ac:dyDescent="0.2">
      <c r="A40" t="s">
        <v>128</v>
      </c>
      <c r="B40">
        <v>1400</v>
      </c>
      <c r="C40">
        <v>27125</v>
      </c>
      <c r="D40">
        <v>0.62</v>
      </c>
      <c r="E40">
        <v>18.988600000000002</v>
      </c>
      <c r="F40">
        <v>3.4</v>
      </c>
      <c r="G40">
        <v>0.30929000000000001</v>
      </c>
      <c r="H40">
        <v>4.3</v>
      </c>
      <c r="I40">
        <v>4.2613999999999999E-2</v>
      </c>
      <c r="J40">
        <v>2.6</v>
      </c>
      <c r="K40">
        <v>0.60299999999999998</v>
      </c>
      <c r="L40">
        <v>269</v>
      </c>
      <c r="M40">
        <v>6.8</v>
      </c>
      <c r="N40">
        <v>273.60000000000002</v>
      </c>
      <c r="O40">
        <v>10.199999999999999</v>
      </c>
      <c r="P40">
        <v>313.3</v>
      </c>
      <c r="Q40">
        <v>77.400000000000006</v>
      </c>
      <c r="R40" s="1">
        <v>269</v>
      </c>
      <c r="S40">
        <v>6.8</v>
      </c>
      <c r="T40">
        <v>85.9</v>
      </c>
    </row>
    <row r="41" spans="1:20" x14ac:dyDescent="0.2">
      <c r="A41" t="s">
        <v>129</v>
      </c>
      <c r="B41">
        <v>1732</v>
      </c>
      <c r="C41">
        <v>167665</v>
      </c>
      <c r="D41">
        <v>6.47</v>
      </c>
      <c r="E41">
        <v>19.074300000000001</v>
      </c>
      <c r="F41">
        <v>2.4</v>
      </c>
      <c r="G41">
        <v>0.33592</v>
      </c>
      <c r="H41">
        <v>4</v>
      </c>
      <c r="I41">
        <v>4.6491999999999999E-2</v>
      </c>
      <c r="J41">
        <v>3.1</v>
      </c>
      <c r="K41">
        <v>0.79300000000000004</v>
      </c>
      <c r="L41">
        <v>292.89999999999998</v>
      </c>
      <c r="M41">
        <v>9</v>
      </c>
      <c r="N41">
        <v>294.10000000000002</v>
      </c>
      <c r="O41">
        <v>10.1</v>
      </c>
      <c r="P41">
        <v>303</v>
      </c>
      <c r="Q41">
        <v>55.2</v>
      </c>
      <c r="R41" s="1">
        <v>292.89999999999998</v>
      </c>
      <c r="S41">
        <v>9</v>
      </c>
      <c r="T41">
        <v>96.7</v>
      </c>
    </row>
    <row r="42" spans="1:20" x14ac:dyDescent="0.2">
      <c r="A42" t="s">
        <v>130</v>
      </c>
      <c r="B42">
        <v>215</v>
      </c>
      <c r="C42">
        <v>8666</v>
      </c>
      <c r="D42">
        <v>0.96</v>
      </c>
      <c r="E42">
        <v>19.6221</v>
      </c>
      <c r="F42">
        <v>6.4</v>
      </c>
      <c r="G42">
        <v>0.30902000000000002</v>
      </c>
      <c r="H42">
        <v>8.1</v>
      </c>
      <c r="I42">
        <v>4.3998000000000002E-2</v>
      </c>
      <c r="J42">
        <v>5</v>
      </c>
      <c r="K42">
        <v>0.61499999999999999</v>
      </c>
      <c r="L42">
        <v>277.60000000000002</v>
      </c>
      <c r="M42">
        <v>13.6</v>
      </c>
      <c r="N42">
        <v>273.39999999999998</v>
      </c>
      <c r="O42">
        <v>19.5</v>
      </c>
      <c r="P42">
        <v>238.1</v>
      </c>
      <c r="Q42">
        <v>148.1</v>
      </c>
      <c r="R42" s="1">
        <v>277.60000000000002</v>
      </c>
      <c r="S42">
        <v>13.6</v>
      </c>
      <c r="T42">
        <v>116.6</v>
      </c>
    </row>
    <row r="43" spans="1:20" x14ac:dyDescent="0.2">
      <c r="A43" t="s">
        <v>131</v>
      </c>
      <c r="B43">
        <v>652</v>
      </c>
      <c r="C43">
        <v>27649</v>
      </c>
      <c r="D43">
        <v>0.6</v>
      </c>
      <c r="E43">
        <v>18.967500000000001</v>
      </c>
      <c r="F43">
        <v>5.0999999999999996</v>
      </c>
      <c r="G43">
        <v>0.30129</v>
      </c>
      <c r="H43">
        <v>7.4</v>
      </c>
      <c r="I43">
        <v>4.1465000000000002E-2</v>
      </c>
      <c r="J43">
        <v>5.3</v>
      </c>
      <c r="K43">
        <v>0.72299999999999998</v>
      </c>
      <c r="L43">
        <v>261.89999999999998</v>
      </c>
      <c r="M43">
        <v>13.7</v>
      </c>
      <c r="N43">
        <v>267.39999999999998</v>
      </c>
      <c r="O43">
        <v>17.399999999999999</v>
      </c>
      <c r="P43">
        <v>315.8</v>
      </c>
      <c r="Q43">
        <v>116</v>
      </c>
      <c r="R43" s="1">
        <v>261.89999999999998</v>
      </c>
      <c r="S43">
        <v>13.7</v>
      </c>
      <c r="T43">
        <v>82.9</v>
      </c>
    </row>
    <row r="44" spans="1:20" x14ac:dyDescent="0.2">
      <c r="A44" t="s">
        <v>132</v>
      </c>
      <c r="B44">
        <v>388</v>
      </c>
      <c r="C44">
        <v>74257</v>
      </c>
      <c r="D44">
        <v>0.92</v>
      </c>
      <c r="E44">
        <v>18.737400000000001</v>
      </c>
      <c r="F44">
        <v>4.2</v>
      </c>
      <c r="G44">
        <v>0.30839</v>
      </c>
      <c r="H44">
        <v>6.8</v>
      </c>
      <c r="I44">
        <v>4.1928E-2</v>
      </c>
      <c r="J44">
        <v>5.3</v>
      </c>
      <c r="K44">
        <v>0.78800000000000003</v>
      </c>
      <c r="L44">
        <v>264.8</v>
      </c>
      <c r="M44">
        <v>13.9</v>
      </c>
      <c r="N44">
        <v>272.89999999999998</v>
      </c>
      <c r="O44">
        <v>16.3</v>
      </c>
      <c r="P44">
        <v>343.5</v>
      </c>
      <c r="Q44">
        <v>94.6</v>
      </c>
      <c r="R44" s="1">
        <v>264.8</v>
      </c>
      <c r="S44">
        <v>13.9</v>
      </c>
      <c r="T44">
        <v>77.099999999999994</v>
      </c>
    </row>
    <row r="45" spans="1:20" x14ac:dyDescent="0.2">
      <c r="A45" t="s">
        <v>133</v>
      </c>
      <c r="B45">
        <v>343</v>
      </c>
      <c r="C45">
        <v>7508</v>
      </c>
      <c r="D45">
        <v>0.86</v>
      </c>
      <c r="E45">
        <v>19.8264</v>
      </c>
      <c r="F45">
        <v>7.6</v>
      </c>
      <c r="G45">
        <v>0.29508000000000001</v>
      </c>
      <c r="H45">
        <v>8.4</v>
      </c>
      <c r="I45">
        <v>4.2450000000000002E-2</v>
      </c>
      <c r="J45">
        <v>3.7</v>
      </c>
      <c r="K45">
        <v>0.437</v>
      </c>
      <c r="L45">
        <v>268</v>
      </c>
      <c r="M45">
        <v>9.6</v>
      </c>
      <c r="N45">
        <v>262.60000000000002</v>
      </c>
      <c r="O45">
        <v>19.399999999999999</v>
      </c>
      <c r="P45">
        <v>214.2</v>
      </c>
      <c r="Q45">
        <v>175</v>
      </c>
      <c r="R45" s="1">
        <v>268</v>
      </c>
      <c r="S45">
        <v>9.6</v>
      </c>
      <c r="T45">
        <v>125.1</v>
      </c>
    </row>
    <row r="46" spans="1:20" x14ac:dyDescent="0.2">
      <c r="A46" t="s">
        <v>134</v>
      </c>
      <c r="B46">
        <v>626</v>
      </c>
      <c r="C46">
        <v>31548</v>
      </c>
      <c r="D46">
        <v>2.5</v>
      </c>
      <c r="E46">
        <v>18.667200000000001</v>
      </c>
      <c r="F46">
        <v>4.0999999999999996</v>
      </c>
      <c r="G46">
        <v>0.32479000000000002</v>
      </c>
      <c r="H46">
        <v>5.7</v>
      </c>
      <c r="I46">
        <v>4.3992000000000003E-2</v>
      </c>
      <c r="J46">
        <v>4</v>
      </c>
      <c r="K46">
        <v>0.70099999999999996</v>
      </c>
      <c r="L46">
        <v>277.5</v>
      </c>
      <c r="M46">
        <v>10.9</v>
      </c>
      <c r="N46">
        <v>285.60000000000002</v>
      </c>
      <c r="O46">
        <v>14.2</v>
      </c>
      <c r="P46">
        <v>352</v>
      </c>
      <c r="Q46">
        <v>92.2</v>
      </c>
      <c r="R46" s="1">
        <v>277.5</v>
      </c>
      <c r="S46">
        <v>10.9</v>
      </c>
      <c r="T46">
        <v>78.8</v>
      </c>
    </row>
    <row r="47" spans="1:20" x14ac:dyDescent="0.2">
      <c r="A47" t="s">
        <v>135</v>
      </c>
      <c r="B47">
        <v>564</v>
      </c>
      <c r="C47">
        <v>23527</v>
      </c>
      <c r="D47">
        <v>0.69</v>
      </c>
      <c r="E47">
        <v>19.2974</v>
      </c>
      <c r="F47">
        <v>4.3</v>
      </c>
      <c r="G47">
        <v>0.30471999999999999</v>
      </c>
      <c r="H47">
        <v>6.9</v>
      </c>
      <c r="I47">
        <v>4.2667999999999998E-2</v>
      </c>
      <c r="J47">
        <v>5.4</v>
      </c>
      <c r="K47">
        <v>0.78300000000000003</v>
      </c>
      <c r="L47">
        <v>269.3</v>
      </c>
      <c r="M47">
        <v>14.3</v>
      </c>
      <c r="N47">
        <v>270.10000000000002</v>
      </c>
      <c r="O47">
        <v>16.399999999999999</v>
      </c>
      <c r="P47">
        <v>276.5</v>
      </c>
      <c r="Q47">
        <v>98.4</v>
      </c>
      <c r="R47" s="1">
        <v>269.3</v>
      </c>
      <c r="S47">
        <v>14.3</v>
      </c>
      <c r="T47">
        <v>97.4</v>
      </c>
    </row>
    <row r="48" spans="1:20" x14ac:dyDescent="0.2">
      <c r="A48" t="s">
        <v>136</v>
      </c>
      <c r="B48">
        <v>793</v>
      </c>
      <c r="C48">
        <v>21881</v>
      </c>
      <c r="D48">
        <v>5.67</v>
      </c>
      <c r="E48">
        <v>19.258299999999998</v>
      </c>
      <c r="F48">
        <v>2.8</v>
      </c>
      <c r="G48">
        <v>0.31146000000000001</v>
      </c>
      <c r="H48">
        <v>3.7</v>
      </c>
      <c r="I48">
        <v>4.3522999999999999E-2</v>
      </c>
      <c r="J48">
        <v>2.4</v>
      </c>
      <c r="K48">
        <v>0.65100000000000002</v>
      </c>
      <c r="L48">
        <v>274.60000000000002</v>
      </c>
      <c r="M48">
        <v>6.5</v>
      </c>
      <c r="N48">
        <v>275.3</v>
      </c>
      <c r="O48">
        <v>8.9</v>
      </c>
      <c r="P48">
        <v>281.10000000000002</v>
      </c>
      <c r="Q48">
        <v>64.3</v>
      </c>
      <c r="R48" s="1">
        <v>274.60000000000002</v>
      </c>
      <c r="S48">
        <v>6.5</v>
      </c>
      <c r="T48">
        <v>97.7</v>
      </c>
    </row>
    <row r="49" spans="1:20" x14ac:dyDescent="0.2">
      <c r="A49" t="s">
        <v>137</v>
      </c>
      <c r="B49">
        <v>596</v>
      </c>
      <c r="C49">
        <v>5725</v>
      </c>
      <c r="D49">
        <v>5.93</v>
      </c>
      <c r="E49">
        <v>19.6279</v>
      </c>
      <c r="F49">
        <v>4.5</v>
      </c>
      <c r="G49">
        <v>0.37242999999999998</v>
      </c>
      <c r="H49">
        <v>5.5</v>
      </c>
      <c r="I49">
        <v>5.3040999999999998E-2</v>
      </c>
      <c r="J49">
        <v>3.1</v>
      </c>
      <c r="K49">
        <v>0.56599999999999995</v>
      </c>
      <c r="L49">
        <v>333.2</v>
      </c>
      <c r="M49">
        <v>10.1</v>
      </c>
      <c r="N49">
        <v>321.5</v>
      </c>
      <c r="O49">
        <v>15.1</v>
      </c>
      <c r="P49">
        <v>237.4</v>
      </c>
      <c r="Q49">
        <v>104.4</v>
      </c>
      <c r="R49" s="1">
        <v>333.2</v>
      </c>
      <c r="S49">
        <v>10.1</v>
      </c>
      <c r="T49">
        <v>140.4</v>
      </c>
    </row>
    <row r="50" spans="1:20" x14ac:dyDescent="0.2">
      <c r="A50" t="s">
        <v>138</v>
      </c>
      <c r="B50">
        <v>390</v>
      </c>
      <c r="C50">
        <v>200636</v>
      </c>
      <c r="D50">
        <v>0.66</v>
      </c>
      <c r="E50">
        <v>18.924499999999998</v>
      </c>
      <c r="F50">
        <v>4.5</v>
      </c>
      <c r="G50">
        <v>0.31746999999999997</v>
      </c>
      <c r="H50">
        <v>6.2</v>
      </c>
      <c r="I50">
        <v>4.3593E-2</v>
      </c>
      <c r="J50">
        <v>4.3</v>
      </c>
      <c r="K50">
        <v>0.69599999999999995</v>
      </c>
      <c r="L50">
        <v>275.10000000000002</v>
      </c>
      <c r="M50">
        <v>11.6</v>
      </c>
      <c r="N50">
        <v>280</v>
      </c>
      <c r="O50">
        <v>15.2</v>
      </c>
      <c r="P50">
        <v>321</v>
      </c>
      <c r="Q50">
        <v>101.2</v>
      </c>
      <c r="R50" s="1">
        <v>275.10000000000002</v>
      </c>
      <c r="S50">
        <v>11.6</v>
      </c>
      <c r="T50">
        <v>85.7</v>
      </c>
    </row>
    <row r="51" spans="1:20" x14ac:dyDescent="0.2">
      <c r="A51" t="s">
        <v>139</v>
      </c>
      <c r="B51">
        <v>1787</v>
      </c>
      <c r="C51">
        <v>187185</v>
      </c>
      <c r="D51">
        <v>4.9800000000000004</v>
      </c>
      <c r="E51">
        <v>18.765799999999999</v>
      </c>
      <c r="F51">
        <v>2.9</v>
      </c>
      <c r="G51">
        <v>0.34647</v>
      </c>
      <c r="H51">
        <v>4</v>
      </c>
      <c r="I51">
        <v>4.7176000000000003E-2</v>
      </c>
      <c r="J51">
        <v>2.7</v>
      </c>
      <c r="K51">
        <v>0.68400000000000005</v>
      </c>
      <c r="L51">
        <v>297.2</v>
      </c>
      <c r="M51">
        <v>7.9</v>
      </c>
      <c r="N51">
        <v>302.10000000000002</v>
      </c>
      <c r="O51">
        <v>10.4</v>
      </c>
      <c r="P51">
        <v>340.1</v>
      </c>
      <c r="Q51">
        <v>65.8</v>
      </c>
      <c r="R51" s="1">
        <v>297.2</v>
      </c>
      <c r="S51">
        <v>7.9</v>
      </c>
      <c r="T51">
        <v>87.4</v>
      </c>
    </row>
    <row r="52" spans="1:20" x14ac:dyDescent="0.2">
      <c r="A52" t="s">
        <v>140</v>
      </c>
      <c r="B52">
        <v>552</v>
      </c>
      <c r="C52">
        <v>134733</v>
      </c>
      <c r="D52">
        <v>4.17</v>
      </c>
      <c r="E52">
        <v>18.994599999999998</v>
      </c>
      <c r="F52">
        <v>5.9</v>
      </c>
      <c r="G52">
        <v>0.32599</v>
      </c>
      <c r="H52">
        <v>8.6999999999999993</v>
      </c>
      <c r="I52">
        <v>4.4928999999999997E-2</v>
      </c>
      <c r="J52">
        <v>6.4</v>
      </c>
      <c r="K52">
        <v>0.73</v>
      </c>
      <c r="L52">
        <v>283.3</v>
      </c>
      <c r="M52">
        <v>17.600000000000001</v>
      </c>
      <c r="N52">
        <v>286.5</v>
      </c>
      <c r="O52">
        <v>21.7</v>
      </c>
      <c r="P52">
        <v>312.60000000000002</v>
      </c>
      <c r="Q52">
        <v>135.19999999999999</v>
      </c>
      <c r="R52" s="1">
        <v>283.3</v>
      </c>
      <c r="S52">
        <v>17.600000000000001</v>
      </c>
      <c r="T52">
        <v>90.6</v>
      </c>
    </row>
    <row r="53" spans="1:20" x14ac:dyDescent="0.2">
      <c r="A53" t="s">
        <v>141</v>
      </c>
      <c r="B53">
        <v>343</v>
      </c>
      <c r="C53">
        <v>210062</v>
      </c>
      <c r="D53">
        <v>0.63</v>
      </c>
      <c r="E53">
        <v>19.330100000000002</v>
      </c>
      <c r="F53">
        <v>5</v>
      </c>
      <c r="G53">
        <v>0.30259999999999998</v>
      </c>
      <c r="H53">
        <v>6</v>
      </c>
      <c r="I53">
        <v>4.2442000000000001E-2</v>
      </c>
      <c r="J53">
        <v>3.4</v>
      </c>
      <c r="K53">
        <v>0.55800000000000005</v>
      </c>
      <c r="L53">
        <v>268</v>
      </c>
      <c r="M53">
        <v>8.8000000000000007</v>
      </c>
      <c r="N53">
        <v>268.39999999999998</v>
      </c>
      <c r="O53">
        <v>14.2</v>
      </c>
      <c r="P53">
        <v>272.60000000000002</v>
      </c>
      <c r="Q53">
        <v>114.5</v>
      </c>
      <c r="R53" s="1">
        <v>268</v>
      </c>
      <c r="S53">
        <v>8.8000000000000007</v>
      </c>
      <c r="T53">
        <v>98.3</v>
      </c>
    </row>
    <row r="54" spans="1:20" x14ac:dyDescent="0.2">
      <c r="A54" t="s">
        <v>142</v>
      </c>
      <c r="B54">
        <v>771</v>
      </c>
      <c r="C54">
        <v>24828</v>
      </c>
      <c r="D54">
        <v>3.18</v>
      </c>
      <c r="E54">
        <v>19.253699999999998</v>
      </c>
      <c r="F54">
        <v>3.1</v>
      </c>
      <c r="G54">
        <v>0.32851999999999998</v>
      </c>
      <c r="H54">
        <v>4.0999999999999996</v>
      </c>
      <c r="I54">
        <v>4.5895999999999999E-2</v>
      </c>
      <c r="J54">
        <v>2.7</v>
      </c>
      <c r="K54">
        <v>0.64800000000000002</v>
      </c>
      <c r="L54">
        <v>289.3</v>
      </c>
      <c r="M54">
        <v>7.5</v>
      </c>
      <c r="N54">
        <v>288.39999999999998</v>
      </c>
      <c r="O54">
        <v>10.3</v>
      </c>
      <c r="P54">
        <v>281.7</v>
      </c>
      <c r="Q54">
        <v>71.400000000000006</v>
      </c>
      <c r="R54" s="1">
        <v>289.3</v>
      </c>
      <c r="S54">
        <v>7.5</v>
      </c>
      <c r="T54">
        <v>102.7</v>
      </c>
    </row>
    <row r="55" spans="1:20" x14ac:dyDescent="0.2">
      <c r="A55" t="s">
        <v>143</v>
      </c>
      <c r="B55">
        <v>1088</v>
      </c>
      <c r="C55">
        <v>29900</v>
      </c>
      <c r="D55">
        <v>3.45</v>
      </c>
      <c r="E55">
        <v>18.019100000000002</v>
      </c>
      <c r="F55">
        <v>2.8</v>
      </c>
      <c r="G55">
        <v>0.35626000000000002</v>
      </c>
      <c r="H55">
        <v>3.6</v>
      </c>
      <c r="I55">
        <v>4.6579000000000002E-2</v>
      </c>
      <c r="J55">
        <v>2.2999999999999998</v>
      </c>
      <c r="K55">
        <v>0.64100000000000001</v>
      </c>
      <c r="L55">
        <v>293.5</v>
      </c>
      <c r="M55">
        <v>6.7</v>
      </c>
      <c r="N55">
        <v>309.39999999999998</v>
      </c>
      <c r="O55">
        <v>9.6999999999999993</v>
      </c>
      <c r="P55">
        <v>431.3</v>
      </c>
      <c r="Q55">
        <v>62</v>
      </c>
      <c r="R55" s="1">
        <v>293.5</v>
      </c>
      <c r="S55">
        <v>6.7</v>
      </c>
      <c r="T55">
        <v>68.099999999999994</v>
      </c>
    </row>
    <row r="56" spans="1:20" x14ac:dyDescent="0.2">
      <c r="A56" t="s">
        <v>144</v>
      </c>
      <c r="B56">
        <v>160</v>
      </c>
      <c r="C56">
        <v>4809</v>
      </c>
      <c r="D56">
        <v>0.83</v>
      </c>
      <c r="E56">
        <v>20.223800000000001</v>
      </c>
      <c r="F56">
        <v>9.8000000000000007</v>
      </c>
      <c r="G56">
        <v>0.28969</v>
      </c>
      <c r="H56">
        <v>11.8</v>
      </c>
      <c r="I56">
        <v>4.2508999999999998E-2</v>
      </c>
      <c r="J56">
        <v>6.5</v>
      </c>
      <c r="K56">
        <v>0.54900000000000004</v>
      </c>
      <c r="L56">
        <v>268.39999999999998</v>
      </c>
      <c r="M56">
        <v>17</v>
      </c>
      <c r="N56">
        <v>258.3</v>
      </c>
      <c r="O56">
        <v>26.8</v>
      </c>
      <c r="P56">
        <v>168</v>
      </c>
      <c r="Q56">
        <v>229.6</v>
      </c>
      <c r="R56" s="1">
        <v>268.39999999999998</v>
      </c>
      <c r="S56">
        <v>17</v>
      </c>
      <c r="T56">
        <v>159.80000000000001</v>
      </c>
    </row>
    <row r="57" spans="1:20" x14ac:dyDescent="0.2">
      <c r="A57" t="s">
        <v>145</v>
      </c>
      <c r="B57">
        <v>1170</v>
      </c>
      <c r="C57">
        <v>18965</v>
      </c>
      <c r="D57">
        <v>0.61</v>
      </c>
      <c r="E57">
        <v>19.365100000000002</v>
      </c>
      <c r="F57">
        <v>4</v>
      </c>
      <c r="G57">
        <v>0.30307000000000001</v>
      </c>
      <c r="H57">
        <v>4.7</v>
      </c>
      <c r="I57">
        <v>4.2583999999999997E-2</v>
      </c>
      <c r="J57">
        <v>2.6</v>
      </c>
      <c r="K57">
        <v>0.54600000000000004</v>
      </c>
      <c r="L57">
        <v>268.8</v>
      </c>
      <c r="M57">
        <v>6.8</v>
      </c>
      <c r="N57">
        <v>268.8</v>
      </c>
      <c r="O57">
        <v>11.2</v>
      </c>
      <c r="P57">
        <v>268.39999999999998</v>
      </c>
      <c r="Q57">
        <v>91.1</v>
      </c>
      <c r="R57" s="1">
        <v>268.8</v>
      </c>
      <c r="S57">
        <v>6.8</v>
      </c>
      <c r="T57">
        <v>100.1</v>
      </c>
    </row>
    <row r="58" spans="1:20" x14ac:dyDescent="0.2">
      <c r="A58" t="s">
        <v>146</v>
      </c>
      <c r="B58">
        <v>535</v>
      </c>
      <c r="C58">
        <v>14476</v>
      </c>
      <c r="D58">
        <v>0.55000000000000004</v>
      </c>
      <c r="E58">
        <v>19.584599999999998</v>
      </c>
      <c r="F58">
        <v>4.9000000000000004</v>
      </c>
      <c r="G58">
        <v>0.30170000000000002</v>
      </c>
      <c r="H58">
        <v>5.9</v>
      </c>
      <c r="I58">
        <v>4.2874000000000002E-2</v>
      </c>
      <c r="J58">
        <v>3.2</v>
      </c>
      <c r="K58">
        <v>0.54700000000000004</v>
      </c>
      <c r="L58">
        <v>270.60000000000002</v>
      </c>
      <c r="M58">
        <v>8.5</v>
      </c>
      <c r="N58">
        <v>267.7</v>
      </c>
      <c r="O58">
        <v>13.8</v>
      </c>
      <c r="P58">
        <v>242.5</v>
      </c>
      <c r="Q58">
        <v>113.2</v>
      </c>
      <c r="R58" s="1">
        <v>270.60000000000002</v>
      </c>
      <c r="S58">
        <v>8.5</v>
      </c>
      <c r="T58">
        <v>111.6</v>
      </c>
    </row>
    <row r="59" spans="1:20" x14ac:dyDescent="0.2">
      <c r="A59" t="s">
        <v>147</v>
      </c>
      <c r="B59">
        <v>1086</v>
      </c>
      <c r="C59">
        <v>17521</v>
      </c>
      <c r="D59">
        <v>0.64</v>
      </c>
      <c r="E59">
        <v>19.1614</v>
      </c>
      <c r="F59">
        <v>3.8</v>
      </c>
      <c r="G59">
        <v>0.31242999999999999</v>
      </c>
      <c r="H59">
        <v>4.8</v>
      </c>
      <c r="I59">
        <v>4.3438999999999998E-2</v>
      </c>
      <c r="J59">
        <v>2.8</v>
      </c>
      <c r="K59">
        <v>0.59499999999999997</v>
      </c>
      <c r="L59">
        <v>274.10000000000002</v>
      </c>
      <c r="M59">
        <v>7.6</v>
      </c>
      <c r="N59">
        <v>276.10000000000002</v>
      </c>
      <c r="O59">
        <v>11.6</v>
      </c>
      <c r="P59">
        <v>292.60000000000002</v>
      </c>
      <c r="Q59">
        <v>87.8</v>
      </c>
      <c r="R59" s="1">
        <v>274.10000000000002</v>
      </c>
      <c r="S59">
        <v>7.6</v>
      </c>
      <c r="T59">
        <v>93.7</v>
      </c>
    </row>
    <row r="60" spans="1:20" x14ac:dyDescent="0.2">
      <c r="A60" t="s">
        <v>148</v>
      </c>
      <c r="B60">
        <v>754</v>
      </c>
      <c r="C60">
        <v>45056</v>
      </c>
      <c r="D60">
        <v>10.65</v>
      </c>
      <c r="E60">
        <v>18.596299999999999</v>
      </c>
      <c r="F60">
        <v>2.7</v>
      </c>
      <c r="G60">
        <v>0.40053</v>
      </c>
      <c r="H60">
        <v>4</v>
      </c>
      <c r="I60">
        <v>5.4045000000000003E-2</v>
      </c>
      <c r="J60">
        <v>2.9</v>
      </c>
      <c r="K60">
        <v>0.73899999999999999</v>
      </c>
      <c r="L60">
        <v>339.3</v>
      </c>
      <c r="M60">
        <v>9.6999999999999993</v>
      </c>
      <c r="N60">
        <v>342</v>
      </c>
      <c r="O60">
        <v>11.5</v>
      </c>
      <c r="P60">
        <v>360.6</v>
      </c>
      <c r="Q60">
        <v>60.1</v>
      </c>
      <c r="R60" s="1">
        <v>339.3</v>
      </c>
      <c r="S60">
        <v>9.6999999999999993</v>
      </c>
      <c r="T60">
        <v>94.1</v>
      </c>
    </row>
    <row r="61" spans="1:20" x14ac:dyDescent="0.2">
      <c r="A61" t="s">
        <v>149</v>
      </c>
      <c r="B61">
        <v>671</v>
      </c>
      <c r="C61">
        <v>15843</v>
      </c>
      <c r="D61">
        <v>0.45</v>
      </c>
      <c r="E61">
        <v>19.037199999999999</v>
      </c>
      <c r="F61">
        <v>4.5999999999999996</v>
      </c>
      <c r="G61">
        <v>0.30173</v>
      </c>
      <c r="H61">
        <v>5.4</v>
      </c>
      <c r="I61">
        <v>4.1679000000000001E-2</v>
      </c>
      <c r="J61">
        <v>3</v>
      </c>
      <c r="K61">
        <v>0.54700000000000004</v>
      </c>
      <c r="L61">
        <v>263.2</v>
      </c>
      <c r="M61">
        <v>7.7</v>
      </c>
      <c r="N61">
        <v>267.7</v>
      </c>
      <c r="O61">
        <v>12.8</v>
      </c>
      <c r="P61">
        <v>307.39999999999998</v>
      </c>
      <c r="Q61">
        <v>103.7</v>
      </c>
      <c r="R61" s="1">
        <v>263.2</v>
      </c>
      <c r="S61">
        <v>7.7</v>
      </c>
      <c r="T61">
        <v>85.6</v>
      </c>
    </row>
    <row r="62" spans="1:20" x14ac:dyDescent="0.2">
      <c r="A62" t="s">
        <v>150</v>
      </c>
      <c r="B62">
        <v>199</v>
      </c>
      <c r="C62">
        <v>1000</v>
      </c>
      <c r="D62">
        <v>1.44</v>
      </c>
      <c r="E62">
        <v>26.845199999999998</v>
      </c>
      <c r="F62">
        <v>60.4</v>
      </c>
      <c r="G62">
        <v>0.22115000000000001</v>
      </c>
      <c r="H62">
        <v>60.6</v>
      </c>
      <c r="I62">
        <v>4.3076000000000003E-2</v>
      </c>
      <c r="J62">
        <v>4.9000000000000004</v>
      </c>
      <c r="K62">
        <v>8.1000000000000003E-2</v>
      </c>
      <c r="L62">
        <v>271.89999999999998</v>
      </c>
      <c r="M62">
        <v>13.1</v>
      </c>
      <c r="N62">
        <v>202.9</v>
      </c>
      <c r="O62">
        <v>111.5</v>
      </c>
      <c r="P62">
        <v>539.6</v>
      </c>
      <c r="Q62">
        <v>1651.2</v>
      </c>
      <c r="R62" s="1">
        <v>271.89999999999998</v>
      </c>
      <c r="S62">
        <v>13.1</v>
      </c>
      <c r="T62">
        <v>50.4</v>
      </c>
    </row>
    <row r="63" spans="1:20" x14ac:dyDescent="0.2">
      <c r="A63" t="s">
        <v>151</v>
      </c>
      <c r="B63">
        <v>152</v>
      </c>
      <c r="C63">
        <v>5409</v>
      </c>
      <c r="D63">
        <v>0.78</v>
      </c>
      <c r="E63">
        <v>19.579499999999999</v>
      </c>
      <c r="F63">
        <v>10.1</v>
      </c>
      <c r="G63">
        <v>0.30632999999999999</v>
      </c>
      <c r="H63">
        <v>11.2</v>
      </c>
      <c r="I63">
        <v>4.3519000000000002E-2</v>
      </c>
      <c r="J63">
        <v>4.8</v>
      </c>
      <c r="K63">
        <v>0.43</v>
      </c>
      <c r="L63">
        <v>274.60000000000002</v>
      </c>
      <c r="M63">
        <v>12.9</v>
      </c>
      <c r="N63">
        <v>271.3</v>
      </c>
      <c r="O63">
        <v>26.6</v>
      </c>
      <c r="P63">
        <v>243.1</v>
      </c>
      <c r="Q63">
        <v>232.3</v>
      </c>
      <c r="R63" s="1">
        <v>274.60000000000002</v>
      </c>
      <c r="S63">
        <v>12.9</v>
      </c>
      <c r="T63">
        <v>113</v>
      </c>
    </row>
    <row r="64" spans="1:20" x14ac:dyDescent="0.2">
      <c r="A64" t="s">
        <v>152</v>
      </c>
      <c r="B64">
        <v>672</v>
      </c>
      <c r="C64">
        <v>9963</v>
      </c>
      <c r="D64">
        <v>0.63</v>
      </c>
      <c r="E64">
        <v>19.450099999999999</v>
      </c>
      <c r="F64">
        <v>5.4</v>
      </c>
      <c r="G64">
        <v>0.30598999999999998</v>
      </c>
      <c r="H64">
        <v>6</v>
      </c>
      <c r="I64">
        <v>4.3184E-2</v>
      </c>
      <c r="J64">
        <v>2.6</v>
      </c>
      <c r="K64">
        <v>0.442</v>
      </c>
      <c r="L64">
        <v>272.5</v>
      </c>
      <c r="M64">
        <v>7.1</v>
      </c>
      <c r="N64">
        <v>271.10000000000002</v>
      </c>
      <c r="O64">
        <v>14.2</v>
      </c>
      <c r="P64">
        <v>258.39999999999998</v>
      </c>
      <c r="Q64">
        <v>123.3</v>
      </c>
      <c r="R64" s="1">
        <v>272.5</v>
      </c>
      <c r="S64">
        <v>7.1</v>
      </c>
      <c r="T64">
        <v>105.5</v>
      </c>
    </row>
    <row r="65" spans="1:20" x14ac:dyDescent="0.2">
      <c r="A65" t="s">
        <v>153</v>
      </c>
      <c r="B65">
        <v>932</v>
      </c>
      <c r="C65">
        <v>47742</v>
      </c>
      <c r="D65">
        <v>0.74</v>
      </c>
      <c r="E65">
        <v>18.968399999999999</v>
      </c>
      <c r="F65">
        <v>2.2999999999999998</v>
      </c>
      <c r="G65">
        <v>0.31324000000000002</v>
      </c>
      <c r="H65">
        <v>3.6</v>
      </c>
      <c r="I65">
        <v>4.3111999999999998E-2</v>
      </c>
      <c r="J65">
        <v>2.8</v>
      </c>
      <c r="K65">
        <v>0.76200000000000001</v>
      </c>
      <c r="L65">
        <v>272.10000000000002</v>
      </c>
      <c r="M65">
        <v>7.3</v>
      </c>
      <c r="N65">
        <v>276.7</v>
      </c>
      <c r="O65">
        <v>8.8000000000000007</v>
      </c>
      <c r="P65">
        <v>315.7</v>
      </c>
      <c r="Q65">
        <v>53.2</v>
      </c>
      <c r="R65" s="1">
        <v>272.10000000000002</v>
      </c>
      <c r="S65">
        <v>7.3</v>
      </c>
      <c r="T65">
        <v>86.2</v>
      </c>
    </row>
    <row r="66" spans="1:20" x14ac:dyDescent="0.2">
      <c r="A66" t="s">
        <v>154</v>
      </c>
      <c r="B66">
        <v>757</v>
      </c>
      <c r="C66">
        <v>9991</v>
      </c>
      <c r="D66">
        <v>0.43</v>
      </c>
      <c r="E66">
        <v>19.595500000000001</v>
      </c>
      <c r="F66">
        <v>5.2</v>
      </c>
      <c r="G66">
        <v>0.30136000000000002</v>
      </c>
      <c r="H66">
        <v>5.6</v>
      </c>
      <c r="I66">
        <v>4.2848999999999998E-2</v>
      </c>
      <c r="J66">
        <v>2.2000000000000002</v>
      </c>
      <c r="K66">
        <v>0.39</v>
      </c>
      <c r="L66">
        <v>270.5</v>
      </c>
      <c r="M66">
        <v>5.8</v>
      </c>
      <c r="N66">
        <v>267.5</v>
      </c>
      <c r="O66">
        <v>13.2</v>
      </c>
      <c r="P66">
        <v>241.2</v>
      </c>
      <c r="Q66">
        <v>118.8</v>
      </c>
      <c r="R66" s="1">
        <v>270.5</v>
      </c>
      <c r="S66">
        <v>5.8</v>
      </c>
      <c r="T66">
        <v>112.1</v>
      </c>
    </row>
    <row r="67" spans="1:20" x14ac:dyDescent="0.2">
      <c r="A67" t="s">
        <v>155</v>
      </c>
      <c r="B67">
        <v>1749</v>
      </c>
      <c r="C67">
        <v>26967</v>
      </c>
      <c r="D67">
        <v>0.67</v>
      </c>
      <c r="E67">
        <v>19.7361</v>
      </c>
      <c r="F67">
        <v>2.7</v>
      </c>
      <c r="G67">
        <v>0.30418000000000001</v>
      </c>
      <c r="H67">
        <v>3.2</v>
      </c>
      <c r="I67">
        <v>4.3559E-2</v>
      </c>
      <c r="J67">
        <v>1.8</v>
      </c>
      <c r="K67">
        <v>0.56799999999999995</v>
      </c>
      <c r="L67">
        <v>274.89999999999998</v>
      </c>
      <c r="M67">
        <v>5</v>
      </c>
      <c r="N67">
        <v>269.7</v>
      </c>
      <c r="O67">
        <v>7.7</v>
      </c>
      <c r="P67">
        <v>224.7</v>
      </c>
      <c r="Q67">
        <v>61.7</v>
      </c>
      <c r="R67" s="1">
        <v>274.89999999999998</v>
      </c>
      <c r="S67">
        <v>5</v>
      </c>
      <c r="T67">
        <v>122.3</v>
      </c>
    </row>
    <row r="68" spans="1:20" x14ac:dyDescent="0.2">
      <c r="A68" t="s">
        <v>156</v>
      </c>
      <c r="B68">
        <v>160</v>
      </c>
      <c r="C68">
        <v>15603</v>
      </c>
      <c r="D68">
        <v>0.9</v>
      </c>
      <c r="E68">
        <v>18.581700000000001</v>
      </c>
      <c r="F68">
        <v>6.9</v>
      </c>
      <c r="G68">
        <v>0.31812000000000001</v>
      </c>
      <c r="H68">
        <v>8.1</v>
      </c>
      <c r="I68">
        <v>4.2892E-2</v>
      </c>
      <c r="J68">
        <v>4.3</v>
      </c>
      <c r="K68">
        <v>0.53300000000000003</v>
      </c>
      <c r="L68">
        <v>270.7</v>
      </c>
      <c r="M68">
        <v>11.5</v>
      </c>
      <c r="N68">
        <v>280.5</v>
      </c>
      <c r="O68">
        <v>19.899999999999999</v>
      </c>
      <c r="P68">
        <v>362.3</v>
      </c>
      <c r="Q68">
        <v>154.6</v>
      </c>
      <c r="R68" s="1">
        <v>270.7</v>
      </c>
      <c r="S68">
        <v>11.5</v>
      </c>
      <c r="T68">
        <v>74.7</v>
      </c>
    </row>
    <row r="69" spans="1:20" x14ac:dyDescent="0.2">
      <c r="A69" t="s">
        <v>157</v>
      </c>
      <c r="B69">
        <v>1134</v>
      </c>
      <c r="C69">
        <v>73516</v>
      </c>
      <c r="D69">
        <v>1.85</v>
      </c>
      <c r="E69">
        <v>18.866099999999999</v>
      </c>
      <c r="F69">
        <v>2.9</v>
      </c>
      <c r="G69">
        <v>0.38369999999999999</v>
      </c>
      <c r="H69">
        <v>3.7</v>
      </c>
      <c r="I69">
        <v>5.2525000000000002E-2</v>
      </c>
      <c r="J69">
        <v>2.4</v>
      </c>
      <c r="K69">
        <v>0.63600000000000001</v>
      </c>
      <c r="L69">
        <v>330</v>
      </c>
      <c r="M69">
        <v>7.6</v>
      </c>
      <c r="N69">
        <v>329.8</v>
      </c>
      <c r="O69">
        <v>10.5</v>
      </c>
      <c r="P69">
        <v>328</v>
      </c>
      <c r="Q69">
        <v>65.2</v>
      </c>
      <c r="R69" s="1">
        <v>330</v>
      </c>
      <c r="S69">
        <v>7.6</v>
      </c>
      <c r="T69">
        <v>100.6</v>
      </c>
    </row>
    <row r="70" spans="1:20" x14ac:dyDescent="0.2">
      <c r="A70" t="s">
        <v>158</v>
      </c>
      <c r="B70">
        <v>278</v>
      </c>
      <c r="C70">
        <v>1000</v>
      </c>
      <c r="D70">
        <v>0.63</v>
      </c>
      <c r="E70">
        <v>26.442699999999999</v>
      </c>
      <c r="F70">
        <v>59.6</v>
      </c>
      <c r="G70">
        <v>0.22742000000000001</v>
      </c>
      <c r="H70">
        <v>59.8</v>
      </c>
      <c r="I70">
        <v>4.3633999999999999E-2</v>
      </c>
      <c r="J70">
        <v>3.9</v>
      </c>
      <c r="K70">
        <v>6.5000000000000002E-2</v>
      </c>
      <c r="L70">
        <v>275.3</v>
      </c>
      <c r="M70">
        <v>10.4</v>
      </c>
      <c r="N70">
        <v>208.1</v>
      </c>
      <c r="O70">
        <v>112.5</v>
      </c>
      <c r="P70">
        <v>499.2</v>
      </c>
      <c r="Q70">
        <v>1616.5</v>
      </c>
      <c r="R70" s="1">
        <v>275.3</v>
      </c>
      <c r="S70">
        <v>10.4</v>
      </c>
      <c r="T70">
        <v>55.1</v>
      </c>
    </row>
    <row r="71" spans="1:20" x14ac:dyDescent="0.2">
      <c r="A71" t="s">
        <v>159</v>
      </c>
      <c r="B71">
        <v>547</v>
      </c>
      <c r="C71">
        <v>97940</v>
      </c>
      <c r="D71">
        <v>0.69</v>
      </c>
      <c r="E71">
        <v>18.702300000000001</v>
      </c>
      <c r="F71">
        <v>3.9</v>
      </c>
      <c r="G71">
        <v>0.32329999999999998</v>
      </c>
      <c r="H71">
        <v>4.7</v>
      </c>
      <c r="I71">
        <v>4.3872000000000001E-2</v>
      </c>
      <c r="J71">
        <v>2.7</v>
      </c>
      <c r="K71">
        <v>0.56699999999999995</v>
      </c>
      <c r="L71">
        <v>276.8</v>
      </c>
      <c r="M71">
        <v>7.2</v>
      </c>
      <c r="N71">
        <v>284.39999999999998</v>
      </c>
      <c r="O71">
        <v>11.7</v>
      </c>
      <c r="P71">
        <v>347.7</v>
      </c>
      <c r="Q71">
        <v>87.7</v>
      </c>
      <c r="R71" s="1">
        <v>276.8</v>
      </c>
      <c r="S71">
        <v>7.2</v>
      </c>
      <c r="T71">
        <v>79.599999999999994</v>
      </c>
    </row>
    <row r="73" spans="1:20" x14ac:dyDescent="0.2">
      <c r="R73" s="1">
        <f>AVERAGE(R25:R71)</f>
        <v>279.9851063829787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A9F28-B102-1945-83F9-E41140034AB5}">
  <dimension ref="A1:BL91"/>
  <sheetViews>
    <sheetView topLeftCell="A7" workbookViewId="0">
      <selection activeCell="R31" sqref="R31"/>
    </sheetView>
  </sheetViews>
  <sheetFormatPr baseColWidth="10" defaultColWidth="8.83203125" defaultRowHeight="15" x14ac:dyDescent="0.2"/>
  <cols>
    <col min="1" max="1" width="39.33203125" style="2" customWidth="1"/>
    <col min="2" max="2" width="25.5" style="2" customWidth="1"/>
    <col min="3" max="3" width="7.1640625" style="2" customWidth="1"/>
    <col min="4" max="4" width="5.6640625" style="2" customWidth="1"/>
    <col min="5" max="5" width="7.6640625" style="2" customWidth="1"/>
    <col min="6" max="6" width="4.5" style="2" customWidth="1"/>
    <col min="7" max="7" width="7.6640625" style="2" customWidth="1"/>
    <col min="8" max="8" width="4.6640625" style="2" customWidth="1"/>
    <col min="9" max="9" width="8.6640625" style="2" customWidth="1"/>
    <col min="10" max="10" width="4.5" style="2" customWidth="1"/>
    <col min="11" max="11" width="5.6640625" style="2" customWidth="1"/>
    <col min="12" max="12" width="10" style="2" customWidth="1"/>
    <col min="13" max="13" width="5.33203125" style="2" customWidth="1"/>
    <col min="14" max="14" width="7.5" style="2" customWidth="1"/>
    <col min="15" max="15" width="5.33203125" style="2" customWidth="1"/>
    <col min="16" max="16" width="7.5" style="2" customWidth="1"/>
    <col min="17" max="17" width="5.6640625" style="2" customWidth="1"/>
    <col min="18" max="18" width="8.5" style="2" customWidth="1"/>
    <col min="19" max="19" width="5.33203125" style="2" customWidth="1"/>
    <col min="20" max="20" width="5.6640625" style="2" customWidth="1"/>
    <col min="21" max="22" width="8.83203125" style="2"/>
    <col min="23" max="23" width="28.6640625" style="2" customWidth="1"/>
    <col min="24" max="24" width="26.33203125" style="2" customWidth="1"/>
    <col min="25" max="26" width="22.5" style="2" customWidth="1"/>
    <col min="27" max="27" width="17.5" style="2" customWidth="1"/>
    <col min="28" max="28" width="20" style="2" customWidth="1"/>
    <col min="29" max="29" width="18.5" style="2" customWidth="1"/>
    <col min="30" max="30" width="13.33203125" style="2" customWidth="1"/>
    <col min="31" max="31" width="17" style="2" customWidth="1"/>
    <col min="32" max="33" width="22.6640625" style="2" customWidth="1"/>
    <col min="34" max="34" width="17.83203125" style="2" customWidth="1"/>
    <col min="35" max="35" width="13" style="2" customWidth="1"/>
    <col min="36" max="36" width="16.1640625" style="2" customWidth="1"/>
    <col min="37" max="37" width="17.5" style="2" customWidth="1"/>
    <col min="38" max="38" width="17.83203125" style="2" customWidth="1"/>
    <col min="39" max="39" width="17.33203125" style="2" customWidth="1"/>
    <col min="40" max="40" width="15.5" style="2" customWidth="1"/>
    <col min="41" max="41" width="12.5" style="2" customWidth="1"/>
    <col min="42" max="42" width="16.1640625" style="2" customWidth="1"/>
    <col min="43" max="43" width="15.5" style="2" customWidth="1"/>
    <col min="44" max="44" width="13.5" style="2" customWidth="1"/>
    <col min="45" max="45" width="21.1640625" style="2" customWidth="1"/>
    <col min="46" max="46" width="16.33203125" style="2" customWidth="1"/>
    <col min="47" max="47" width="18" style="2" customWidth="1"/>
    <col min="48" max="48" width="16.33203125" style="2" customWidth="1"/>
    <col min="49" max="49" width="22.83203125" style="2" customWidth="1"/>
    <col min="50" max="50" width="4.5" style="2" customWidth="1"/>
    <col min="51" max="51" width="7.6640625" style="2" customWidth="1"/>
    <col min="52" max="52" width="4.5" style="2" customWidth="1"/>
    <col min="53" max="53" width="8.6640625" style="2" customWidth="1"/>
    <col min="54" max="54" width="4.5" style="2" customWidth="1"/>
    <col min="55" max="55" width="5.6640625" style="2" customWidth="1"/>
    <col min="56" max="56" width="10" style="2" customWidth="1"/>
    <col min="57" max="57" width="5.33203125" style="2" customWidth="1"/>
    <col min="58" max="58" width="7.5" style="2" customWidth="1"/>
    <col min="59" max="59" width="5.33203125" style="2" customWidth="1"/>
    <col min="60" max="60" width="7.5" style="2" customWidth="1"/>
    <col min="61" max="61" width="5.33203125" style="2" customWidth="1"/>
    <col min="62" max="62" width="8.5" style="2" customWidth="1"/>
    <col min="63" max="63" width="5.33203125" style="2" customWidth="1"/>
    <col min="64" max="64" width="5.6640625" style="2" customWidth="1"/>
    <col min="65" max="16384" width="8.83203125" style="2"/>
  </cols>
  <sheetData>
    <row r="1" spans="1:49" x14ac:dyDescent="0.2">
      <c r="A1" s="2" t="s">
        <v>0</v>
      </c>
      <c r="W1" s="2" t="s">
        <v>207</v>
      </c>
      <c r="X1" s="2" t="s">
        <v>226</v>
      </c>
      <c r="Y1" s="2" t="s">
        <v>231</v>
      </c>
      <c r="Z1" s="2" t="s">
        <v>237</v>
      </c>
      <c r="AA1" s="2" t="s">
        <v>243</v>
      </c>
      <c r="AB1" s="2" t="s">
        <v>249</v>
      </c>
      <c r="AC1" s="2" t="s">
        <v>255</v>
      </c>
      <c r="AD1" s="2" t="s">
        <v>261</v>
      </c>
      <c r="AE1" s="2" t="s">
        <v>267</v>
      </c>
      <c r="AF1" s="2" t="s">
        <v>272</v>
      </c>
      <c r="AG1" s="2" t="s">
        <v>277</v>
      </c>
      <c r="AH1" s="2" t="s">
        <v>282</v>
      </c>
      <c r="AI1" s="2" t="s">
        <v>292</v>
      </c>
      <c r="AJ1" s="2" t="s">
        <v>302</v>
      </c>
      <c r="AK1" s="2" t="s">
        <v>309</v>
      </c>
      <c r="AL1" s="2" t="s">
        <v>314</v>
      </c>
      <c r="AM1" s="2" t="s">
        <v>322</v>
      </c>
      <c r="AN1" s="2" t="s">
        <v>328</v>
      </c>
      <c r="AO1" s="2" t="s">
        <v>334</v>
      </c>
      <c r="AP1" s="2" t="s">
        <v>342</v>
      </c>
      <c r="AQ1" s="2" t="s">
        <v>347</v>
      </c>
      <c r="AR1" s="2" t="s">
        <v>350</v>
      </c>
      <c r="AS1" s="2" t="s">
        <v>352</v>
      </c>
      <c r="AT1" s="2" t="s">
        <v>431</v>
      </c>
      <c r="AU1" s="2" t="s">
        <v>436</v>
      </c>
      <c r="AV1" s="2" t="s">
        <v>442</v>
      </c>
      <c r="AW1" s="2" t="s">
        <v>447</v>
      </c>
    </row>
    <row r="2" spans="1:49" x14ac:dyDescent="0.2">
      <c r="A2" s="2" t="s">
        <v>1</v>
      </c>
      <c r="W2" s="2" t="s">
        <v>208</v>
      </c>
      <c r="X2" s="2" t="s">
        <v>227</v>
      </c>
      <c r="Y2" s="2" t="s">
        <v>232</v>
      </c>
      <c r="Z2" s="2" t="s">
        <v>238</v>
      </c>
      <c r="AA2" s="2" t="s">
        <v>238</v>
      </c>
      <c r="AB2" s="2" t="s">
        <v>238</v>
      </c>
      <c r="AC2" s="2" t="s">
        <v>238</v>
      </c>
      <c r="AD2" s="2" t="s">
        <v>262</v>
      </c>
      <c r="AE2" s="2" t="s">
        <v>268</v>
      </c>
      <c r="AF2" s="2" t="s">
        <v>268</v>
      </c>
      <c r="AG2" s="2" t="s">
        <v>268</v>
      </c>
      <c r="AH2" s="2" t="s">
        <v>268</v>
      </c>
      <c r="AI2" s="2" t="s">
        <v>293</v>
      </c>
      <c r="AJ2" s="2" t="s">
        <v>303</v>
      </c>
      <c r="AO2" s="2" t="s">
        <v>335</v>
      </c>
      <c r="AP2" s="2" t="s">
        <v>335</v>
      </c>
      <c r="AQ2" s="2" t="s">
        <v>348</v>
      </c>
      <c r="AR2" s="2" t="s">
        <v>263</v>
      </c>
      <c r="AS2" s="2" t="s">
        <v>245</v>
      </c>
      <c r="AT2" s="2" t="s">
        <v>245</v>
      </c>
      <c r="AU2" s="2" t="s">
        <v>555</v>
      </c>
      <c r="AV2" s="2" t="s">
        <v>245</v>
      </c>
      <c r="AW2" s="2" t="s">
        <v>554</v>
      </c>
    </row>
    <row r="3" spans="1:49" x14ac:dyDescent="0.2">
      <c r="A3" s="2" t="s">
        <v>2</v>
      </c>
      <c r="W3" s="2" t="s">
        <v>209</v>
      </c>
      <c r="Z3" s="2" t="s">
        <v>245</v>
      </c>
      <c r="AA3" s="2" t="s">
        <v>245</v>
      </c>
      <c r="AD3" s="2" t="s">
        <v>245</v>
      </c>
      <c r="AE3" s="2" t="s">
        <v>245</v>
      </c>
      <c r="AH3" s="2" t="s">
        <v>245</v>
      </c>
      <c r="AI3" s="2" t="s">
        <v>245</v>
      </c>
      <c r="AJ3" s="2" t="s">
        <v>245</v>
      </c>
      <c r="AK3" s="2" t="s">
        <v>245</v>
      </c>
      <c r="AL3" s="2" t="s">
        <v>245</v>
      </c>
      <c r="AM3" s="2" t="s">
        <v>245</v>
      </c>
      <c r="AN3" s="2" t="s">
        <v>553</v>
      </c>
    </row>
    <row r="4" spans="1:49" x14ac:dyDescent="0.2">
      <c r="A4" s="2" t="s">
        <v>3</v>
      </c>
      <c r="W4" s="2" t="s">
        <v>210</v>
      </c>
      <c r="AB4" s="2" t="s">
        <v>245</v>
      </c>
      <c r="AC4" s="2" t="s">
        <v>245</v>
      </c>
      <c r="AD4" s="2" t="s">
        <v>245</v>
      </c>
      <c r="AE4" s="2" t="s">
        <v>245</v>
      </c>
      <c r="AF4" s="2" t="s">
        <v>305</v>
      </c>
      <c r="AG4" s="2" t="s">
        <v>245</v>
      </c>
      <c r="AH4" s="2" t="s">
        <v>245</v>
      </c>
      <c r="AI4" s="2" t="s">
        <v>245</v>
      </c>
      <c r="AJ4" s="2" t="s">
        <v>245</v>
      </c>
      <c r="AK4" s="2" t="s">
        <v>245</v>
      </c>
      <c r="AL4" s="2" t="s">
        <v>245</v>
      </c>
      <c r="AM4" s="2" t="s">
        <v>305</v>
      </c>
      <c r="AN4" s="2" t="s">
        <v>552</v>
      </c>
    </row>
    <row r="5" spans="1:49" x14ac:dyDescent="0.2">
      <c r="A5" s="2" t="s">
        <v>4</v>
      </c>
      <c r="B5" s="2" t="s">
        <v>160</v>
      </c>
    </row>
    <row r="6" spans="1:49" x14ac:dyDescent="0.2">
      <c r="A6" s="2" t="s">
        <v>5</v>
      </c>
      <c r="B6" s="2" t="s">
        <v>161</v>
      </c>
    </row>
    <row r="7" spans="1:49" x14ac:dyDescent="0.2">
      <c r="A7" s="2" t="s">
        <v>6</v>
      </c>
      <c r="X7" s="2" t="s">
        <v>228</v>
      </c>
      <c r="Y7" s="2" t="s">
        <v>233</v>
      </c>
      <c r="Z7" s="2" t="s">
        <v>240</v>
      </c>
      <c r="AA7" s="2" t="s">
        <v>246</v>
      </c>
      <c r="AB7" s="2" t="s">
        <v>252</v>
      </c>
      <c r="AC7" s="2" t="s">
        <v>258</v>
      </c>
      <c r="AI7" s="2" t="s">
        <v>296</v>
      </c>
      <c r="AJ7" s="2" t="s">
        <v>306</v>
      </c>
      <c r="AK7" s="2" t="s">
        <v>311</v>
      </c>
      <c r="AL7" s="2" t="s">
        <v>316</v>
      </c>
      <c r="AM7" s="2" t="s">
        <v>325</v>
      </c>
      <c r="AN7" s="2" t="s">
        <v>331</v>
      </c>
      <c r="AO7" s="2" t="s">
        <v>336</v>
      </c>
      <c r="AP7" s="2" t="s">
        <v>344</v>
      </c>
      <c r="AQ7" s="2" t="s">
        <v>349</v>
      </c>
      <c r="AT7" s="2" t="s">
        <v>433</v>
      </c>
      <c r="AU7" s="2" t="s">
        <v>438</v>
      </c>
      <c r="AV7" s="2" t="s">
        <v>444</v>
      </c>
    </row>
    <row r="8" spans="1:49" x14ac:dyDescent="0.2">
      <c r="A8" s="2" t="s">
        <v>7</v>
      </c>
      <c r="W8" s="2" t="s">
        <v>211</v>
      </c>
      <c r="X8" s="2">
        <v>0.7</v>
      </c>
      <c r="Y8" s="2">
        <v>0.2</v>
      </c>
      <c r="Z8" s="2">
        <v>0.2</v>
      </c>
      <c r="AA8" s="2">
        <v>0</v>
      </c>
      <c r="AB8" s="2">
        <v>0.2</v>
      </c>
      <c r="AC8" s="2">
        <v>5.2999999999999999E-2</v>
      </c>
      <c r="AH8" s="2" t="s">
        <v>286</v>
      </c>
      <c r="AI8" s="2" t="s">
        <v>551</v>
      </c>
      <c r="AJ8" s="2">
        <v>5.8</v>
      </c>
      <c r="AK8" s="2">
        <v>0.3</v>
      </c>
      <c r="AL8" s="2" t="s">
        <v>550</v>
      </c>
      <c r="AM8" s="2">
        <v>8.1</v>
      </c>
      <c r="AN8" s="2">
        <v>0.7</v>
      </c>
      <c r="AO8" s="2" t="s">
        <v>549</v>
      </c>
      <c r="AP8" s="2">
        <v>12.4</v>
      </c>
      <c r="AQ8" s="2">
        <v>0.5</v>
      </c>
      <c r="AS8" s="2" t="s">
        <v>354</v>
      </c>
      <c r="AT8" s="2">
        <v>0.6</v>
      </c>
      <c r="AU8" s="2">
        <v>1.5</v>
      </c>
      <c r="AV8" s="2">
        <v>0.6</v>
      </c>
    </row>
    <row r="9" spans="1:49" x14ac:dyDescent="0.2">
      <c r="A9" s="2" t="s">
        <v>8</v>
      </c>
      <c r="B9" s="2" t="s">
        <v>162</v>
      </c>
      <c r="W9" s="2" t="s">
        <v>212</v>
      </c>
      <c r="X9" s="2">
        <v>0.68</v>
      </c>
      <c r="Y9" s="2">
        <v>0.17</v>
      </c>
      <c r="Z9" s="2">
        <v>0.2</v>
      </c>
      <c r="AA9" s="2">
        <v>5.0000000000000001E-3</v>
      </c>
      <c r="AB9" s="2">
        <v>0.2</v>
      </c>
      <c r="AC9" s="2">
        <v>0.09</v>
      </c>
      <c r="AH9" s="2" t="s">
        <v>287</v>
      </c>
      <c r="AI9" s="2" t="s">
        <v>548</v>
      </c>
      <c r="AJ9" s="2">
        <v>2.8</v>
      </c>
      <c r="AK9" s="2">
        <v>0.4</v>
      </c>
      <c r="AL9" s="2" t="s">
        <v>547</v>
      </c>
      <c r="AM9" s="2">
        <v>9.8000000000000007</v>
      </c>
      <c r="AN9" s="2">
        <v>0.4</v>
      </c>
      <c r="AO9" s="2" t="s">
        <v>546</v>
      </c>
      <c r="AP9" s="2">
        <v>8.6999999999999993</v>
      </c>
      <c r="AQ9" s="2">
        <v>0.4</v>
      </c>
    </row>
    <row r="10" spans="1:49" x14ac:dyDescent="0.2">
      <c r="A10" s="2" t="s">
        <v>9</v>
      </c>
      <c r="B10" s="2">
        <v>0.7</v>
      </c>
      <c r="W10" s="2" t="s">
        <v>213</v>
      </c>
      <c r="X10" s="2">
        <v>1.99</v>
      </c>
      <c r="Y10" s="2">
        <v>0.69</v>
      </c>
      <c r="Z10" s="2">
        <v>0.5</v>
      </c>
      <c r="AA10" s="2">
        <v>5.8000000000000003E-2</v>
      </c>
      <c r="AB10" s="2">
        <v>0.5</v>
      </c>
      <c r="AC10" s="2">
        <v>0.5</v>
      </c>
      <c r="AH10" s="2" t="s">
        <v>288</v>
      </c>
      <c r="AI10" s="2" t="s">
        <v>545</v>
      </c>
      <c r="AJ10" s="2">
        <v>3.9</v>
      </c>
      <c r="AK10" s="2">
        <v>1.2</v>
      </c>
      <c r="AL10" s="2" t="s">
        <v>544</v>
      </c>
      <c r="AM10" s="2">
        <v>18.7</v>
      </c>
      <c r="AN10" s="2">
        <v>1.2</v>
      </c>
      <c r="AO10" s="2" t="s">
        <v>543</v>
      </c>
      <c r="AP10" s="2">
        <v>7.1</v>
      </c>
      <c r="AQ10" s="2">
        <v>3.9</v>
      </c>
    </row>
    <row r="11" spans="1:49" x14ac:dyDescent="0.2">
      <c r="A11" s="2" t="s">
        <v>10</v>
      </c>
      <c r="B11" s="2">
        <v>0.68</v>
      </c>
    </row>
    <row r="12" spans="1:49" x14ac:dyDescent="0.2">
      <c r="A12" s="2" t="s">
        <v>11</v>
      </c>
      <c r="B12" s="2">
        <v>1.99</v>
      </c>
    </row>
    <row r="13" spans="1:49" x14ac:dyDescent="0.2">
      <c r="A13" s="2" t="s">
        <v>12</v>
      </c>
    </row>
    <row r="14" spans="1:49" x14ac:dyDescent="0.2">
      <c r="A14" s="2" t="s">
        <v>13</v>
      </c>
      <c r="B14" s="2" t="s">
        <v>163</v>
      </c>
    </row>
    <row r="15" spans="1:49" x14ac:dyDescent="0.2">
      <c r="A15" s="2" t="s">
        <v>14</v>
      </c>
    </row>
    <row r="16" spans="1:49" x14ac:dyDescent="0.2">
      <c r="A16" s="2" t="s">
        <v>15</v>
      </c>
    </row>
    <row r="17" spans="1:64" x14ac:dyDescent="0.2">
      <c r="A17" s="2" t="s">
        <v>16</v>
      </c>
      <c r="B17" s="2" t="s">
        <v>164</v>
      </c>
    </row>
    <row r="18" spans="1:64" x14ac:dyDescent="0.2">
      <c r="A18" s="2" t="s">
        <v>17</v>
      </c>
      <c r="B18" s="2" t="s">
        <v>165</v>
      </c>
    </row>
    <row r="19" spans="1:64" x14ac:dyDescent="0.2">
      <c r="B19" s="2" t="s">
        <v>166</v>
      </c>
    </row>
    <row r="21" spans="1:64" x14ac:dyDescent="0.2">
      <c r="A21" s="2" t="s">
        <v>18</v>
      </c>
      <c r="C21" s="2" t="s">
        <v>169</v>
      </c>
      <c r="L21" s="2" t="s">
        <v>188</v>
      </c>
      <c r="W21" s="2" t="s">
        <v>214</v>
      </c>
      <c r="Y21" s="2" t="s">
        <v>169</v>
      </c>
      <c r="AH21" s="2" t="s">
        <v>188</v>
      </c>
      <c r="AS21" s="2" t="s">
        <v>355</v>
      </c>
      <c r="AU21" s="2" t="s">
        <v>169</v>
      </c>
      <c r="BD21" s="2" t="s">
        <v>188</v>
      </c>
    </row>
    <row r="23" spans="1:64" x14ac:dyDescent="0.2">
      <c r="A23" s="2" t="s">
        <v>19</v>
      </c>
      <c r="B23" s="2" t="s">
        <v>167</v>
      </c>
      <c r="C23" s="2" t="s">
        <v>170</v>
      </c>
      <c r="D23" s="2" t="s">
        <v>172</v>
      </c>
      <c r="E23" s="2" t="s">
        <v>174</v>
      </c>
      <c r="F23" s="2" t="s">
        <v>176</v>
      </c>
      <c r="G23" s="2" t="s">
        <v>175</v>
      </c>
      <c r="H23" s="2" t="s">
        <v>176</v>
      </c>
      <c r="I23" s="2" t="s">
        <v>174</v>
      </c>
      <c r="J23" s="2" t="s">
        <v>176</v>
      </c>
      <c r="K23" s="2" t="s">
        <v>186</v>
      </c>
      <c r="L23" s="2" t="s">
        <v>174</v>
      </c>
      <c r="M23" s="2" t="s">
        <v>176</v>
      </c>
      <c r="N23" s="2" t="s">
        <v>175</v>
      </c>
      <c r="O23" s="2" t="s">
        <v>176</v>
      </c>
      <c r="P23" s="2" t="s">
        <v>174</v>
      </c>
      <c r="Q23" s="2" t="s">
        <v>176</v>
      </c>
      <c r="R23" s="2" t="s">
        <v>201</v>
      </c>
      <c r="S23" s="2" t="s">
        <v>176</v>
      </c>
      <c r="T23" s="2" t="s">
        <v>205</v>
      </c>
      <c r="W23" s="2" t="s">
        <v>19</v>
      </c>
      <c r="X23" s="2" t="s">
        <v>167</v>
      </c>
      <c r="Y23" s="2" t="s">
        <v>170</v>
      </c>
      <c r="Z23" s="2" t="s">
        <v>172</v>
      </c>
      <c r="AA23" s="2" t="s">
        <v>174</v>
      </c>
      <c r="AB23" s="2" t="s">
        <v>176</v>
      </c>
      <c r="AC23" s="2" t="s">
        <v>175</v>
      </c>
      <c r="AD23" s="2" t="s">
        <v>176</v>
      </c>
      <c r="AE23" s="2" t="s">
        <v>174</v>
      </c>
      <c r="AF23" s="2" t="s">
        <v>176</v>
      </c>
      <c r="AG23" s="2" t="s">
        <v>186</v>
      </c>
      <c r="AH23" s="2" t="s">
        <v>174</v>
      </c>
      <c r="AI23" s="2" t="s">
        <v>176</v>
      </c>
      <c r="AJ23" s="2" t="s">
        <v>175</v>
      </c>
      <c r="AK23" s="2" t="s">
        <v>176</v>
      </c>
      <c r="AL23" s="2" t="s">
        <v>174</v>
      </c>
      <c r="AM23" s="2" t="s">
        <v>176</v>
      </c>
      <c r="AN23" s="2" t="s">
        <v>201</v>
      </c>
      <c r="AO23" s="2" t="s">
        <v>176</v>
      </c>
      <c r="AP23" s="2" t="s">
        <v>205</v>
      </c>
      <c r="AS23" s="2" t="s">
        <v>19</v>
      </c>
      <c r="AT23" s="2" t="s">
        <v>167</v>
      </c>
      <c r="AU23" s="2" t="s">
        <v>170</v>
      </c>
      <c r="AV23" s="2" t="s">
        <v>172</v>
      </c>
      <c r="AW23" s="2" t="s">
        <v>174</v>
      </c>
      <c r="AX23" s="2" t="s">
        <v>176</v>
      </c>
      <c r="AY23" s="2" t="s">
        <v>175</v>
      </c>
      <c r="AZ23" s="2" t="s">
        <v>176</v>
      </c>
      <c r="BA23" s="2" t="s">
        <v>174</v>
      </c>
      <c r="BB23" s="2" t="s">
        <v>176</v>
      </c>
      <c r="BC23" s="2" t="s">
        <v>186</v>
      </c>
      <c r="BD23" s="2" t="s">
        <v>174</v>
      </c>
      <c r="BE23" s="2" t="s">
        <v>176</v>
      </c>
      <c r="BF23" s="2" t="s">
        <v>175</v>
      </c>
      <c r="BG23" s="2" t="s">
        <v>176</v>
      </c>
      <c r="BH23" s="2" t="s">
        <v>174</v>
      </c>
      <c r="BI23" s="2" t="s">
        <v>176</v>
      </c>
      <c r="BJ23" s="2" t="s">
        <v>201</v>
      </c>
      <c r="BK23" s="2" t="s">
        <v>176</v>
      </c>
      <c r="BL23" s="2" t="s">
        <v>205</v>
      </c>
    </row>
    <row r="24" spans="1:64" x14ac:dyDescent="0.2">
      <c r="B24" s="2" t="s">
        <v>168</v>
      </c>
      <c r="C24" s="2" t="s">
        <v>171</v>
      </c>
      <c r="D24" s="2" t="s">
        <v>173</v>
      </c>
      <c r="E24" s="2" t="s">
        <v>175</v>
      </c>
      <c r="F24" s="2" t="s">
        <v>177</v>
      </c>
      <c r="G24" s="2" t="s">
        <v>179</v>
      </c>
      <c r="H24" s="2" t="s">
        <v>177</v>
      </c>
      <c r="I24" s="2" t="s">
        <v>183</v>
      </c>
      <c r="J24" s="2" t="s">
        <v>177</v>
      </c>
      <c r="K24" s="2" t="s">
        <v>187</v>
      </c>
      <c r="L24" s="2" t="s">
        <v>183</v>
      </c>
      <c r="M24" s="2" t="s">
        <v>192</v>
      </c>
      <c r="N24" s="2" t="s">
        <v>179</v>
      </c>
      <c r="O24" s="2" t="s">
        <v>192</v>
      </c>
      <c r="P24" s="2" t="s">
        <v>175</v>
      </c>
      <c r="Q24" s="2" t="s">
        <v>192</v>
      </c>
      <c r="R24" s="2" t="s">
        <v>192</v>
      </c>
      <c r="S24" s="2" t="s">
        <v>192</v>
      </c>
      <c r="T24" s="2" t="s">
        <v>177</v>
      </c>
      <c r="X24" s="2" t="s">
        <v>168</v>
      </c>
      <c r="Y24" s="2" t="s">
        <v>171</v>
      </c>
      <c r="Z24" s="2" t="s">
        <v>173</v>
      </c>
      <c r="AA24" s="2" t="s">
        <v>175</v>
      </c>
      <c r="AB24" s="2" t="s">
        <v>177</v>
      </c>
      <c r="AC24" s="2" t="s">
        <v>179</v>
      </c>
      <c r="AD24" s="2" t="s">
        <v>177</v>
      </c>
      <c r="AE24" s="2" t="s">
        <v>183</v>
      </c>
      <c r="AF24" s="2" t="s">
        <v>177</v>
      </c>
      <c r="AG24" s="2" t="s">
        <v>187</v>
      </c>
      <c r="AH24" s="2" t="s">
        <v>183</v>
      </c>
      <c r="AI24" s="2" t="s">
        <v>192</v>
      </c>
      <c r="AJ24" s="2" t="s">
        <v>179</v>
      </c>
      <c r="AK24" s="2" t="s">
        <v>192</v>
      </c>
      <c r="AL24" s="2" t="s">
        <v>175</v>
      </c>
      <c r="AM24" s="2" t="s">
        <v>192</v>
      </c>
      <c r="AN24" s="2" t="s">
        <v>192</v>
      </c>
      <c r="AO24" s="2" t="s">
        <v>192</v>
      </c>
      <c r="AP24" s="2" t="s">
        <v>177</v>
      </c>
      <c r="AT24" s="2" t="s">
        <v>168</v>
      </c>
      <c r="AU24" s="2" t="s">
        <v>171</v>
      </c>
      <c r="AV24" s="2" t="s">
        <v>173</v>
      </c>
      <c r="AW24" s="2" t="s">
        <v>175</v>
      </c>
      <c r="AX24" s="2" t="s">
        <v>177</v>
      </c>
      <c r="AY24" s="2" t="s">
        <v>179</v>
      </c>
      <c r="AZ24" s="2" t="s">
        <v>177</v>
      </c>
      <c r="BA24" s="2" t="s">
        <v>183</v>
      </c>
      <c r="BB24" s="2" t="s">
        <v>177</v>
      </c>
      <c r="BC24" s="2" t="s">
        <v>187</v>
      </c>
      <c r="BD24" s="2" t="s">
        <v>183</v>
      </c>
      <c r="BE24" s="2" t="s">
        <v>192</v>
      </c>
      <c r="BF24" s="2" t="s">
        <v>179</v>
      </c>
      <c r="BG24" s="2" t="s">
        <v>192</v>
      </c>
      <c r="BH24" s="2" t="s">
        <v>175</v>
      </c>
      <c r="BI24" s="2" t="s">
        <v>192</v>
      </c>
      <c r="BJ24" s="2" t="s">
        <v>192</v>
      </c>
      <c r="BK24" s="2" t="s">
        <v>192</v>
      </c>
      <c r="BL24" s="2" t="s">
        <v>177</v>
      </c>
    </row>
    <row r="27" spans="1:64" x14ac:dyDescent="0.2">
      <c r="A27" s="2" t="s">
        <v>23</v>
      </c>
      <c r="B27" s="2">
        <v>514</v>
      </c>
      <c r="C27" s="2">
        <v>37512</v>
      </c>
      <c r="D27" s="2">
        <v>13.43</v>
      </c>
      <c r="E27" s="2">
        <v>18.689399999999999</v>
      </c>
      <c r="F27" s="2">
        <v>2.6</v>
      </c>
      <c r="G27" s="2">
        <v>0.39906999999999998</v>
      </c>
      <c r="H27" s="2">
        <v>3.7</v>
      </c>
      <c r="I27" s="2">
        <v>5.4117999999999999E-2</v>
      </c>
      <c r="J27" s="2">
        <v>2.6</v>
      </c>
      <c r="K27" s="2">
        <v>0.70799999999999996</v>
      </c>
      <c r="L27" s="2">
        <v>339.8</v>
      </c>
      <c r="M27" s="2">
        <v>8.6</v>
      </c>
      <c r="N27" s="2">
        <v>341</v>
      </c>
      <c r="O27" s="2">
        <v>10.7</v>
      </c>
      <c r="P27" s="2">
        <v>349.3</v>
      </c>
      <c r="Q27" s="2">
        <v>58.8</v>
      </c>
      <c r="R27" s="2">
        <v>339.8</v>
      </c>
      <c r="S27" s="2">
        <v>8.6</v>
      </c>
      <c r="T27" s="2">
        <v>97.3</v>
      </c>
      <c r="AS27" s="2" t="s">
        <v>357</v>
      </c>
      <c r="AT27" s="2">
        <v>608</v>
      </c>
      <c r="AU27" s="2">
        <v>581629</v>
      </c>
      <c r="AV27" s="2">
        <v>1.84</v>
      </c>
      <c r="AW27" s="2">
        <v>13.0123</v>
      </c>
      <c r="AX27" s="2">
        <v>1.7</v>
      </c>
      <c r="AY27" s="2">
        <v>1.9730399999999999</v>
      </c>
      <c r="AZ27" s="2">
        <v>2.5</v>
      </c>
      <c r="BA27" s="2">
        <v>0.18628800000000001</v>
      </c>
      <c r="BB27" s="2">
        <v>1.9</v>
      </c>
      <c r="BC27" s="2">
        <v>0.747</v>
      </c>
      <c r="BD27" s="2">
        <v>1101.2</v>
      </c>
      <c r="BE27" s="2">
        <v>19.3</v>
      </c>
      <c r="BF27" s="2">
        <v>1106.3</v>
      </c>
      <c r="BG27" s="2">
        <v>17.2</v>
      </c>
      <c r="BH27" s="2">
        <v>1116.4000000000001</v>
      </c>
      <c r="BI27" s="2">
        <v>33.700000000000003</v>
      </c>
      <c r="BJ27" s="2">
        <v>1116.4000000000001</v>
      </c>
      <c r="BK27" s="2">
        <v>33.700000000000003</v>
      </c>
      <c r="BL27" s="2">
        <v>98.6</v>
      </c>
    </row>
    <row r="28" spans="1:64" s="3" customFormat="1" x14ac:dyDescent="0.2">
      <c r="A28" s="3" t="s">
        <v>542</v>
      </c>
      <c r="B28" s="3">
        <v>337</v>
      </c>
      <c r="C28" s="3">
        <v>55643</v>
      </c>
      <c r="D28" s="3">
        <v>1.44</v>
      </c>
      <c r="E28" s="3">
        <v>16.163</v>
      </c>
      <c r="F28" s="3">
        <v>2.2000000000000002</v>
      </c>
      <c r="G28" s="3">
        <v>0.92345999999999995</v>
      </c>
      <c r="H28" s="3">
        <v>2.7</v>
      </c>
      <c r="I28" s="3">
        <v>0.10830099999999999</v>
      </c>
      <c r="J28" s="3">
        <v>1.7</v>
      </c>
      <c r="K28" s="3">
        <v>0.60099999999999998</v>
      </c>
      <c r="L28" s="3">
        <v>662.9</v>
      </c>
      <c r="M28" s="3">
        <v>10.4</v>
      </c>
      <c r="N28" s="3">
        <v>664.2</v>
      </c>
      <c r="O28" s="3">
        <v>13.4</v>
      </c>
      <c r="P28" s="3">
        <v>668.6</v>
      </c>
      <c r="Q28" s="3">
        <v>47</v>
      </c>
      <c r="R28" s="3">
        <v>662.9</v>
      </c>
      <c r="S28" s="3">
        <v>10.4</v>
      </c>
      <c r="T28" s="3">
        <v>99.1</v>
      </c>
      <c r="AS28" s="3" t="s">
        <v>541</v>
      </c>
      <c r="AT28" s="3">
        <v>486</v>
      </c>
      <c r="AU28" s="3">
        <v>105456</v>
      </c>
      <c r="AV28" s="3">
        <v>3.24</v>
      </c>
      <c r="AW28" s="3">
        <v>13.148099999999999</v>
      </c>
      <c r="AX28" s="3">
        <v>1.8</v>
      </c>
      <c r="AY28" s="3">
        <v>1.9377200000000001</v>
      </c>
      <c r="AZ28" s="3">
        <v>3.1</v>
      </c>
      <c r="BA28" s="3">
        <v>0.184862</v>
      </c>
      <c r="BB28" s="3">
        <v>2.5</v>
      </c>
      <c r="BC28" s="3">
        <v>0.80600000000000005</v>
      </c>
      <c r="BD28" s="3">
        <v>1093.5</v>
      </c>
      <c r="BE28" s="3">
        <v>25.2</v>
      </c>
      <c r="BF28" s="3">
        <v>1094.2</v>
      </c>
      <c r="BG28" s="3">
        <v>20.8</v>
      </c>
      <c r="BH28" s="3">
        <v>1095.5999999999999</v>
      </c>
      <c r="BI28" s="3">
        <v>36.9</v>
      </c>
      <c r="BJ28" s="3">
        <v>1095.5999999999999</v>
      </c>
      <c r="BK28" s="3">
        <v>36.9</v>
      </c>
      <c r="BL28" s="3">
        <v>99.8</v>
      </c>
    </row>
    <row r="29" spans="1:64" s="3" customFormat="1" x14ac:dyDescent="0.2">
      <c r="A29" s="3" t="s">
        <v>540</v>
      </c>
      <c r="B29" s="3">
        <v>323</v>
      </c>
      <c r="C29" s="3">
        <v>117493</v>
      </c>
      <c r="D29" s="3">
        <v>1.98</v>
      </c>
      <c r="E29" s="3">
        <v>9.7223000000000006</v>
      </c>
      <c r="F29" s="3">
        <v>1.8</v>
      </c>
      <c r="G29" s="3">
        <v>4.2482699999999998</v>
      </c>
      <c r="H29" s="3">
        <v>3.1</v>
      </c>
      <c r="I29" s="3">
        <v>0.29969099999999999</v>
      </c>
      <c r="J29" s="3">
        <v>2.6</v>
      </c>
      <c r="K29" s="3">
        <v>0.81799999999999995</v>
      </c>
      <c r="L29" s="3">
        <v>1689.8</v>
      </c>
      <c r="M29" s="3">
        <v>38.1</v>
      </c>
      <c r="N29" s="3">
        <v>1683.4</v>
      </c>
      <c r="O29" s="3">
        <v>25.8</v>
      </c>
      <c r="P29" s="3">
        <v>1675.4</v>
      </c>
      <c r="Q29" s="3">
        <v>33.299999999999997</v>
      </c>
      <c r="R29" s="3">
        <v>1675.4</v>
      </c>
      <c r="S29" s="3">
        <v>33.299999999999997</v>
      </c>
      <c r="T29" s="3">
        <v>100.9</v>
      </c>
      <c r="AS29" s="3" t="s">
        <v>359</v>
      </c>
      <c r="AT29" s="3">
        <v>976</v>
      </c>
      <c r="AU29" s="3">
        <v>145065</v>
      </c>
      <c r="AV29" s="3">
        <v>1.28</v>
      </c>
      <c r="AW29" s="3">
        <v>13.138400000000001</v>
      </c>
      <c r="AX29" s="3">
        <v>1.3</v>
      </c>
      <c r="AY29" s="3">
        <v>1.9677100000000001</v>
      </c>
      <c r="AZ29" s="3">
        <v>2.5</v>
      </c>
      <c r="BA29" s="3">
        <v>0.187584</v>
      </c>
      <c r="BB29" s="3">
        <v>2.1</v>
      </c>
      <c r="BC29" s="3">
        <v>0.85899999999999999</v>
      </c>
      <c r="BD29" s="3">
        <v>1108.3</v>
      </c>
      <c r="BE29" s="3">
        <v>21.6</v>
      </c>
      <c r="BF29" s="3">
        <v>1104.5</v>
      </c>
      <c r="BG29" s="3">
        <v>16.600000000000001</v>
      </c>
      <c r="BH29" s="3">
        <v>1097.0999999999999</v>
      </c>
      <c r="BI29" s="3">
        <v>25.2</v>
      </c>
      <c r="BJ29" s="3">
        <v>1097.0999999999999</v>
      </c>
      <c r="BK29" s="3">
        <v>25.2</v>
      </c>
      <c r="BL29" s="3">
        <v>101</v>
      </c>
    </row>
    <row r="30" spans="1:64" s="3" customFormat="1" x14ac:dyDescent="0.2">
      <c r="A30" s="3" t="s">
        <v>539</v>
      </c>
      <c r="B30" s="3">
        <v>385</v>
      </c>
      <c r="C30" s="3">
        <v>189426</v>
      </c>
      <c r="D30" s="3">
        <v>2.59</v>
      </c>
      <c r="E30" s="3">
        <v>16.5502</v>
      </c>
      <c r="F30" s="3">
        <v>1.5</v>
      </c>
      <c r="G30" s="3">
        <v>0.81152000000000002</v>
      </c>
      <c r="H30" s="3">
        <v>3.1</v>
      </c>
      <c r="I30" s="3">
        <v>9.7452999999999998E-2</v>
      </c>
      <c r="J30" s="3">
        <v>2.7</v>
      </c>
      <c r="K30" s="3">
        <v>0.88100000000000001</v>
      </c>
      <c r="L30" s="3">
        <v>599.5</v>
      </c>
      <c r="M30" s="3">
        <v>15.6</v>
      </c>
      <c r="N30" s="3">
        <v>603.29999999999995</v>
      </c>
      <c r="O30" s="3">
        <v>14.1</v>
      </c>
      <c r="P30" s="3">
        <v>617.70000000000005</v>
      </c>
      <c r="Q30" s="3">
        <v>31.7</v>
      </c>
      <c r="R30" s="3">
        <v>599.5</v>
      </c>
      <c r="S30" s="3">
        <v>15.6</v>
      </c>
      <c r="T30" s="3">
        <v>97.1</v>
      </c>
      <c r="AS30" s="3" t="s">
        <v>360</v>
      </c>
      <c r="AT30" s="3">
        <v>731</v>
      </c>
      <c r="AU30" s="3">
        <v>471365</v>
      </c>
      <c r="AV30" s="3">
        <v>6.39</v>
      </c>
      <c r="AW30" s="3">
        <v>17.074400000000001</v>
      </c>
      <c r="AX30" s="3">
        <v>2.2999999999999998</v>
      </c>
      <c r="AY30" s="3">
        <v>0.72916000000000003</v>
      </c>
      <c r="AZ30" s="3">
        <v>3.7</v>
      </c>
      <c r="BA30" s="3">
        <v>9.0336E-2</v>
      </c>
      <c r="BB30" s="3">
        <v>2.9</v>
      </c>
      <c r="BC30" s="3">
        <v>0.78</v>
      </c>
      <c r="BD30" s="3">
        <v>557.5</v>
      </c>
      <c r="BE30" s="3">
        <v>15.3</v>
      </c>
      <c r="BF30" s="3">
        <v>556.1</v>
      </c>
      <c r="BG30" s="3">
        <v>15.7</v>
      </c>
      <c r="BH30" s="3">
        <v>550.1</v>
      </c>
      <c r="BI30" s="3">
        <v>50.3</v>
      </c>
      <c r="BJ30" s="3">
        <v>557.5</v>
      </c>
      <c r="BK30" s="3">
        <v>15.3</v>
      </c>
      <c r="BL30" s="3">
        <v>101.3</v>
      </c>
    </row>
    <row r="31" spans="1:64" s="3" customFormat="1" x14ac:dyDescent="0.2">
      <c r="A31" s="3" t="s">
        <v>538</v>
      </c>
      <c r="B31" s="3">
        <v>21257</v>
      </c>
      <c r="C31" s="3">
        <v>478811</v>
      </c>
      <c r="D31" s="3">
        <v>1.48</v>
      </c>
      <c r="E31" s="3">
        <v>19.924700000000001</v>
      </c>
      <c r="F31" s="3">
        <v>1.8</v>
      </c>
      <c r="G31" s="3">
        <v>0.14902000000000001</v>
      </c>
      <c r="H31" s="3">
        <v>3.1</v>
      </c>
      <c r="I31" s="3">
        <v>2.1544000000000001E-2</v>
      </c>
      <c r="J31" s="3">
        <v>2.5</v>
      </c>
      <c r="K31" s="3">
        <v>0.81599999999999995</v>
      </c>
      <c r="L31" s="3">
        <v>137.4</v>
      </c>
      <c r="M31" s="3">
        <v>3.4</v>
      </c>
      <c r="N31" s="3">
        <v>141</v>
      </c>
      <c r="O31" s="3">
        <v>4</v>
      </c>
      <c r="P31" s="3">
        <v>202.7</v>
      </c>
      <c r="Q31" s="3">
        <v>41.2</v>
      </c>
      <c r="R31" s="3">
        <v>137.4</v>
      </c>
      <c r="S31" s="3">
        <v>3.4</v>
      </c>
      <c r="T31" s="3">
        <v>67.8</v>
      </c>
      <c r="AS31" s="3" t="s">
        <v>361</v>
      </c>
      <c r="AT31" s="3">
        <v>676</v>
      </c>
      <c r="AU31" s="3">
        <v>109338</v>
      </c>
      <c r="AV31" s="3">
        <v>6.49</v>
      </c>
      <c r="AW31" s="3">
        <v>17.077200000000001</v>
      </c>
      <c r="AX31" s="3">
        <v>1.9</v>
      </c>
      <c r="AY31" s="3">
        <v>0.73363</v>
      </c>
      <c r="AZ31" s="3">
        <v>3</v>
      </c>
      <c r="BA31" s="3">
        <v>9.0906000000000001E-2</v>
      </c>
      <c r="BB31" s="3">
        <v>2.2999999999999998</v>
      </c>
      <c r="BC31" s="3">
        <v>0.76900000000000002</v>
      </c>
      <c r="BD31" s="3">
        <v>560.9</v>
      </c>
      <c r="BE31" s="3">
        <v>12.4</v>
      </c>
      <c r="BF31" s="3">
        <v>558.70000000000005</v>
      </c>
      <c r="BG31" s="3">
        <v>12.9</v>
      </c>
      <c r="BH31" s="3">
        <v>549.70000000000005</v>
      </c>
      <c r="BI31" s="3">
        <v>41.9</v>
      </c>
      <c r="BJ31" s="3">
        <v>560.9</v>
      </c>
      <c r="BK31" s="3">
        <v>12.4</v>
      </c>
      <c r="BL31" s="3">
        <v>102</v>
      </c>
    </row>
    <row r="32" spans="1:64" s="3" customFormat="1" x14ac:dyDescent="0.2">
      <c r="A32" s="3" t="s">
        <v>537</v>
      </c>
      <c r="B32" s="3">
        <v>1924</v>
      </c>
      <c r="C32" s="3">
        <v>462345</v>
      </c>
      <c r="D32" s="3">
        <v>0.61</v>
      </c>
      <c r="E32" s="3">
        <v>19.872599999999998</v>
      </c>
      <c r="F32" s="3">
        <v>1.8</v>
      </c>
      <c r="G32" s="3">
        <v>0.22145000000000001</v>
      </c>
      <c r="H32" s="3">
        <v>2.7</v>
      </c>
      <c r="I32" s="3">
        <v>3.1931000000000001E-2</v>
      </c>
      <c r="J32" s="3">
        <v>2</v>
      </c>
      <c r="K32" s="3">
        <v>0.73299999999999998</v>
      </c>
      <c r="L32" s="3">
        <v>202.6</v>
      </c>
      <c r="M32" s="3">
        <v>4</v>
      </c>
      <c r="N32" s="3">
        <v>203.1</v>
      </c>
      <c r="O32" s="3">
        <v>5</v>
      </c>
      <c r="P32" s="3">
        <v>208.8</v>
      </c>
      <c r="Q32" s="3">
        <v>42.8</v>
      </c>
      <c r="R32" s="3">
        <v>202.6</v>
      </c>
      <c r="S32" s="3">
        <v>4</v>
      </c>
      <c r="T32" s="3">
        <v>97</v>
      </c>
      <c r="AS32" s="3" t="s">
        <v>362</v>
      </c>
      <c r="AT32" s="3">
        <v>423</v>
      </c>
      <c r="AU32" s="3">
        <v>288246</v>
      </c>
      <c r="AV32" s="3">
        <v>0.79</v>
      </c>
      <c r="AW32" s="3">
        <v>17.917899999999999</v>
      </c>
      <c r="AX32" s="3">
        <v>2.7</v>
      </c>
      <c r="AY32" s="3">
        <v>0.51324000000000003</v>
      </c>
      <c r="AZ32" s="3">
        <v>3.9</v>
      </c>
      <c r="BA32" s="3">
        <v>6.6726999999999995E-2</v>
      </c>
      <c r="BB32" s="3">
        <v>2.9</v>
      </c>
      <c r="BC32" s="3">
        <v>0.73799999999999999</v>
      </c>
      <c r="BD32" s="3">
        <v>416.4</v>
      </c>
      <c r="BE32" s="3">
        <v>11.7</v>
      </c>
      <c r="BF32" s="3">
        <v>420.6</v>
      </c>
      <c r="BG32" s="3">
        <v>13.6</v>
      </c>
      <c r="BH32" s="3">
        <v>443.8</v>
      </c>
      <c r="BI32" s="3">
        <v>59.3</v>
      </c>
      <c r="BJ32" s="3">
        <v>416.4</v>
      </c>
      <c r="BK32" s="3">
        <v>11.7</v>
      </c>
      <c r="BL32" s="3">
        <v>93.8</v>
      </c>
    </row>
    <row r="33" spans="1:64" s="3" customFormat="1" x14ac:dyDescent="0.2">
      <c r="A33" s="3" t="s">
        <v>536</v>
      </c>
      <c r="B33" s="3">
        <v>635</v>
      </c>
      <c r="C33" s="3">
        <v>95168</v>
      </c>
      <c r="D33" s="3">
        <v>10.52</v>
      </c>
      <c r="E33" s="3">
        <v>18.548500000000001</v>
      </c>
      <c r="F33" s="3">
        <v>2.5</v>
      </c>
      <c r="G33" s="3">
        <v>0.39942</v>
      </c>
      <c r="H33" s="3">
        <v>3.2</v>
      </c>
      <c r="I33" s="3">
        <v>5.3756999999999999E-2</v>
      </c>
      <c r="J33" s="3">
        <v>2.1</v>
      </c>
      <c r="K33" s="3">
        <v>0.65</v>
      </c>
      <c r="L33" s="3">
        <v>337.5</v>
      </c>
      <c r="M33" s="3">
        <v>6.9</v>
      </c>
      <c r="N33" s="3">
        <v>341.2</v>
      </c>
      <c r="O33" s="3">
        <v>9.4</v>
      </c>
      <c r="P33" s="3">
        <v>366.4</v>
      </c>
      <c r="Q33" s="3">
        <v>55.2</v>
      </c>
      <c r="R33" s="3">
        <v>337.5</v>
      </c>
      <c r="S33" s="3">
        <v>6.9</v>
      </c>
      <c r="T33" s="3">
        <v>92.1</v>
      </c>
      <c r="AS33" s="3" t="s">
        <v>363</v>
      </c>
      <c r="AT33" s="3">
        <v>672</v>
      </c>
      <c r="AU33" s="3">
        <v>39331</v>
      </c>
      <c r="AV33" s="3">
        <v>1.78</v>
      </c>
      <c r="AW33" s="3">
        <v>18.1678</v>
      </c>
      <c r="AX33" s="3">
        <v>2.7</v>
      </c>
      <c r="AY33" s="3">
        <v>0.50912000000000002</v>
      </c>
      <c r="AZ33" s="3">
        <v>3.4</v>
      </c>
      <c r="BA33" s="3">
        <v>6.7113999999999993E-2</v>
      </c>
      <c r="BB33" s="3">
        <v>2</v>
      </c>
      <c r="BC33" s="3">
        <v>0.6</v>
      </c>
      <c r="BD33" s="3">
        <v>418.7</v>
      </c>
      <c r="BE33" s="3">
        <v>8.1999999999999993</v>
      </c>
      <c r="BF33" s="3">
        <v>417.9</v>
      </c>
      <c r="BG33" s="3">
        <v>11.5</v>
      </c>
      <c r="BH33" s="3">
        <v>412.9</v>
      </c>
      <c r="BI33" s="3">
        <v>60</v>
      </c>
      <c r="BJ33" s="3">
        <v>418.7</v>
      </c>
      <c r="BK33" s="3">
        <v>8.1999999999999993</v>
      </c>
      <c r="BL33" s="3">
        <v>101.4</v>
      </c>
    </row>
    <row r="34" spans="1:64" s="3" customFormat="1" x14ac:dyDescent="0.2">
      <c r="A34" s="3" t="s">
        <v>535</v>
      </c>
      <c r="B34" s="3">
        <v>302</v>
      </c>
      <c r="C34" s="3">
        <v>199167</v>
      </c>
      <c r="D34" s="3">
        <v>0.91</v>
      </c>
      <c r="E34" s="3">
        <v>16.6677</v>
      </c>
      <c r="F34" s="3">
        <v>2.2999999999999998</v>
      </c>
      <c r="G34" s="3">
        <v>0.83260000000000001</v>
      </c>
      <c r="H34" s="3">
        <v>3.4</v>
      </c>
      <c r="I34" s="3">
        <v>0.10069500000000001</v>
      </c>
      <c r="J34" s="3">
        <v>2.6</v>
      </c>
      <c r="K34" s="3">
        <v>0.753</v>
      </c>
      <c r="L34" s="3">
        <v>618.5</v>
      </c>
      <c r="M34" s="3">
        <v>15.3</v>
      </c>
      <c r="N34" s="3">
        <v>615.1</v>
      </c>
      <c r="O34" s="3">
        <v>15.9</v>
      </c>
      <c r="P34" s="3">
        <v>602.4</v>
      </c>
      <c r="Q34" s="3">
        <v>49</v>
      </c>
      <c r="R34" s="3">
        <v>618.5</v>
      </c>
      <c r="S34" s="3">
        <v>15.3</v>
      </c>
      <c r="T34" s="3">
        <v>102.7</v>
      </c>
      <c r="AS34" s="3" t="s">
        <v>364</v>
      </c>
      <c r="AT34" s="3">
        <v>155</v>
      </c>
      <c r="AU34" s="3">
        <v>22787</v>
      </c>
      <c r="AV34" s="3">
        <v>2.95</v>
      </c>
      <c r="AW34" s="3">
        <v>13.295</v>
      </c>
      <c r="AX34" s="3">
        <v>2.8</v>
      </c>
      <c r="AY34" s="3">
        <v>1.93188</v>
      </c>
      <c r="AZ34" s="3">
        <v>4</v>
      </c>
      <c r="BA34" s="3">
        <v>0.186364</v>
      </c>
      <c r="BB34" s="3">
        <v>2.9</v>
      </c>
      <c r="BC34" s="3">
        <v>0.71699999999999997</v>
      </c>
      <c r="BD34" s="3">
        <v>1101.5999999999999</v>
      </c>
      <c r="BE34" s="3">
        <v>29.1</v>
      </c>
      <c r="BF34" s="3">
        <v>1092.2</v>
      </c>
      <c r="BG34" s="3">
        <v>26.9</v>
      </c>
      <c r="BH34" s="3">
        <v>1073.4000000000001</v>
      </c>
      <c r="BI34" s="3">
        <v>56.2</v>
      </c>
      <c r="BJ34" s="3">
        <v>1073.4000000000001</v>
      </c>
      <c r="BK34" s="3">
        <v>56.2</v>
      </c>
      <c r="BL34" s="3">
        <v>102.6</v>
      </c>
    </row>
    <row r="35" spans="1:64" x14ac:dyDescent="0.2">
      <c r="A35" s="2" t="s">
        <v>534</v>
      </c>
      <c r="B35" s="2">
        <v>347</v>
      </c>
      <c r="C35" s="2">
        <v>147873</v>
      </c>
      <c r="D35" s="2">
        <v>1.3</v>
      </c>
      <c r="E35" s="2">
        <v>18.9847</v>
      </c>
      <c r="F35" s="2">
        <v>2.6</v>
      </c>
      <c r="G35" s="2">
        <v>0.38279000000000002</v>
      </c>
      <c r="H35" s="2">
        <v>3.5</v>
      </c>
      <c r="I35" s="2">
        <v>5.2729999999999999E-2</v>
      </c>
      <c r="J35" s="2">
        <v>2.2999999999999998</v>
      </c>
      <c r="K35" s="2">
        <v>0.66400000000000003</v>
      </c>
      <c r="L35" s="2">
        <v>331.3</v>
      </c>
      <c r="M35" s="2">
        <v>7.5</v>
      </c>
      <c r="N35" s="2">
        <v>329.1</v>
      </c>
      <c r="O35" s="2">
        <v>9.8000000000000007</v>
      </c>
      <c r="P35" s="2">
        <v>313.8</v>
      </c>
      <c r="Q35" s="2">
        <v>59.6</v>
      </c>
      <c r="R35" s="2">
        <v>331.3</v>
      </c>
      <c r="S35" s="2">
        <v>7.5</v>
      </c>
      <c r="T35" s="2">
        <v>105.6</v>
      </c>
      <c r="AS35" s="2" t="s">
        <v>366</v>
      </c>
      <c r="AT35" s="2">
        <v>682</v>
      </c>
      <c r="AU35" s="2">
        <v>130105</v>
      </c>
      <c r="AV35" s="2">
        <v>6.55</v>
      </c>
      <c r="AW35" s="2">
        <v>17.110700000000001</v>
      </c>
      <c r="AX35" s="2">
        <v>1.9</v>
      </c>
      <c r="AY35" s="2">
        <v>0.72307999999999995</v>
      </c>
      <c r="AZ35" s="2">
        <v>2.5</v>
      </c>
      <c r="BA35" s="2">
        <v>8.9774000000000007E-2</v>
      </c>
      <c r="BB35" s="2">
        <v>1.6</v>
      </c>
      <c r="BC35" s="2">
        <v>0.65500000000000003</v>
      </c>
      <c r="BD35" s="2">
        <v>554.20000000000005</v>
      </c>
      <c r="BE35" s="2">
        <v>8.6999999999999993</v>
      </c>
      <c r="BF35" s="2">
        <v>552.5</v>
      </c>
      <c r="BG35" s="2">
        <v>10.6</v>
      </c>
      <c r="BH35" s="2">
        <v>545.4</v>
      </c>
      <c r="BI35" s="2">
        <v>41.3</v>
      </c>
      <c r="BJ35" s="2">
        <v>554.20000000000005</v>
      </c>
      <c r="BK35" s="2">
        <v>8.6999999999999993</v>
      </c>
      <c r="BL35" s="2">
        <v>101.6</v>
      </c>
    </row>
    <row r="36" spans="1:64" x14ac:dyDescent="0.2">
      <c r="A36" s="2" t="s">
        <v>533</v>
      </c>
      <c r="B36" s="2">
        <v>143</v>
      </c>
      <c r="C36" s="2">
        <v>22185</v>
      </c>
      <c r="D36" s="2">
        <v>1.9</v>
      </c>
      <c r="E36" s="2">
        <v>18.9345</v>
      </c>
      <c r="F36" s="2">
        <v>5.2</v>
      </c>
      <c r="G36" s="2">
        <v>0.39721000000000001</v>
      </c>
      <c r="H36" s="2">
        <v>6.9</v>
      </c>
      <c r="I36" s="2">
        <v>5.4572000000000002E-2</v>
      </c>
      <c r="J36" s="2">
        <v>4.5</v>
      </c>
      <c r="K36" s="2">
        <v>0.65700000000000003</v>
      </c>
      <c r="L36" s="2">
        <v>342.5</v>
      </c>
      <c r="M36" s="2">
        <v>15.1</v>
      </c>
      <c r="N36" s="2">
        <v>339.6</v>
      </c>
      <c r="O36" s="2">
        <v>19.899999999999999</v>
      </c>
      <c r="P36" s="2">
        <v>319.8</v>
      </c>
      <c r="Q36" s="2">
        <v>117.9</v>
      </c>
      <c r="R36" s="2">
        <v>342.5</v>
      </c>
      <c r="S36" s="2">
        <v>15.1</v>
      </c>
      <c r="T36" s="2">
        <v>107.1</v>
      </c>
      <c r="AS36" s="2" t="s">
        <v>365</v>
      </c>
      <c r="AT36" s="2">
        <v>146</v>
      </c>
      <c r="AU36" s="2">
        <v>245011</v>
      </c>
      <c r="AV36" s="2">
        <v>2.2000000000000002</v>
      </c>
      <c r="AW36" s="2">
        <v>13.128500000000001</v>
      </c>
      <c r="AX36" s="2">
        <v>2.7</v>
      </c>
      <c r="AY36" s="2">
        <v>1.95852</v>
      </c>
      <c r="AZ36" s="2">
        <v>5</v>
      </c>
      <c r="BA36" s="2">
        <v>0.18656900000000001</v>
      </c>
      <c r="BB36" s="2">
        <v>4.3</v>
      </c>
      <c r="BC36" s="2">
        <v>0.84799999999999998</v>
      </c>
      <c r="BD36" s="2">
        <v>1102.8</v>
      </c>
      <c r="BE36" s="2">
        <v>43.4</v>
      </c>
      <c r="BF36" s="2">
        <v>1101.4000000000001</v>
      </c>
      <c r="BG36" s="2">
        <v>33.9</v>
      </c>
      <c r="BH36" s="2">
        <v>1098.5999999999999</v>
      </c>
      <c r="BI36" s="2">
        <v>53.5</v>
      </c>
      <c r="BJ36" s="2">
        <v>1098.5999999999999</v>
      </c>
      <c r="BK36" s="2">
        <v>53.5</v>
      </c>
      <c r="BL36" s="2">
        <v>100.4</v>
      </c>
    </row>
    <row r="37" spans="1:64" x14ac:dyDescent="0.2">
      <c r="A37" s="2" t="s">
        <v>532</v>
      </c>
      <c r="B37" s="2">
        <v>180</v>
      </c>
      <c r="C37" s="2">
        <v>88842</v>
      </c>
      <c r="D37" s="2">
        <v>1.84</v>
      </c>
      <c r="E37" s="2">
        <v>18.544</v>
      </c>
      <c r="F37" s="2">
        <v>3.6</v>
      </c>
      <c r="G37" s="2">
        <v>0.40140999999999999</v>
      </c>
      <c r="H37" s="2">
        <v>5.0999999999999996</v>
      </c>
      <c r="I37" s="2">
        <v>5.4011999999999998E-2</v>
      </c>
      <c r="J37" s="2">
        <v>3.6</v>
      </c>
      <c r="K37" s="2">
        <v>0.70899999999999996</v>
      </c>
      <c r="L37" s="2">
        <v>339.1</v>
      </c>
      <c r="M37" s="2">
        <v>11.9</v>
      </c>
      <c r="N37" s="2">
        <v>342.7</v>
      </c>
      <c r="O37" s="2">
        <v>14.8</v>
      </c>
      <c r="P37" s="2">
        <v>366.9</v>
      </c>
      <c r="Q37" s="2">
        <v>80.599999999999994</v>
      </c>
      <c r="R37" s="2">
        <v>339.1</v>
      </c>
      <c r="S37" s="2">
        <v>11.9</v>
      </c>
      <c r="T37" s="2">
        <v>92.4</v>
      </c>
      <c r="AS37" s="2" t="s">
        <v>368</v>
      </c>
      <c r="AT37" s="2">
        <v>749</v>
      </c>
      <c r="AU37" s="2">
        <v>55844</v>
      </c>
      <c r="AV37" s="2">
        <v>6.42</v>
      </c>
      <c r="AW37" s="2">
        <v>17.111599999999999</v>
      </c>
      <c r="AX37" s="2">
        <v>2.2000000000000002</v>
      </c>
      <c r="AY37" s="2">
        <v>0.72702</v>
      </c>
      <c r="AZ37" s="2">
        <v>3.2</v>
      </c>
      <c r="BA37" s="2">
        <v>9.0267E-2</v>
      </c>
      <c r="BB37" s="2">
        <v>2.4</v>
      </c>
      <c r="BC37" s="2">
        <v>0.73899999999999999</v>
      </c>
      <c r="BD37" s="2">
        <v>557.1</v>
      </c>
      <c r="BE37" s="2">
        <v>12.7</v>
      </c>
      <c r="BF37" s="2">
        <v>554.79999999999995</v>
      </c>
      <c r="BG37" s="2">
        <v>13.8</v>
      </c>
      <c r="BH37" s="2">
        <v>545.29999999999995</v>
      </c>
      <c r="BI37" s="2">
        <v>47.6</v>
      </c>
      <c r="BJ37" s="2">
        <v>557.1</v>
      </c>
      <c r="BK37" s="2">
        <v>12.7</v>
      </c>
      <c r="BL37" s="2">
        <v>102.2</v>
      </c>
    </row>
    <row r="38" spans="1:64" x14ac:dyDescent="0.2">
      <c r="A38" s="2" t="s">
        <v>531</v>
      </c>
      <c r="B38" s="2">
        <v>220</v>
      </c>
      <c r="C38" s="2">
        <v>12362</v>
      </c>
      <c r="D38" s="2">
        <v>1.56</v>
      </c>
      <c r="E38" s="2">
        <v>19.4709</v>
      </c>
      <c r="F38" s="2">
        <v>5.5</v>
      </c>
      <c r="G38" s="2">
        <v>0.38507999999999998</v>
      </c>
      <c r="H38" s="2">
        <v>6.6</v>
      </c>
      <c r="I38" s="2">
        <v>5.4404000000000001E-2</v>
      </c>
      <c r="J38" s="2">
        <v>3.7</v>
      </c>
      <c r="K38" s="2">
        <v>0.55300000000000005</v>
      </c>
      <c r="L38" s="2">
        <v>341.5</v>
      </c>
      <c r="M38" s="2">
        <v>12.2</v>
      </c>
      <c r="N38" s="2">
        <v>330.8</v>
      </c>
      <c r="O38" s="2">
        <v>18.7</v>
      </c>
      <c r="P38" s="2">
        <v>256</v>
      </c>
      <c r="Q38" s="2">
        <v>127.2</v>
      </c>
      <c r="R38" s="2">
        <v>341.5</v>
      </c>
      <c r="S38" s="2">
        <v>12.2</v>
      </c>
      <c r="T38" s="2">
        <v>133.4</v>
      </c>
      <c r="AS38" s="2" t="s">
        <v>367</v>
      </c>
      <c r="AT38" s="2">
        <v>342</v>
      </c>
      <c r="AU38" s="2">
        <v>494350</v>
      </c>
      <c r="AV38" s="2">
        <v>1.74</v>
      </c>
      <c r="AW38" s="2">
        <v>13.043699999999999</v>
      </c>
      <c r="AX38" s="2">
        <v>2.2999999999999998</v>
      </c>
      <c r="AY38" s="2">
        <v>1.9842500000000001</v>
      </c>
      <c r="AZ38" s="2">
        <v>3.4</v>
      </c>
      <c r="BA38" s="2">
        <v>0.18779799999999999</v>
      </c>
      <c r="BB38" s="2">
        <v>2.5</v>
      </c>
      <c r="BC38" s="2">
        <v>0.745</v>
      </c>
      <c r="BD38" s="2">
        <v>1109.4000000000001</v>
      </c>
      <c r="BE38" s="2">
        <v>25.9</v>
      </c>
      <c r="BF38" s="2">
        <v>1110.2</v>
      </c>
      <c r="BG38" s="2">
        <v>23</v>
      </c>
      <c r="BH38" s="2">
        <v>1111.5999999999999</v>
      </c>
      <c r="BI38" s="2">
        <v>45.5</v>
      </c>
      <c r="BJ38" s="2">
        <v>1111.5999999999999</v>
      </c>
      <c r="BK38" s="2">
        <v>45.5</v>
      </c>
      <c r="BL38" s="2">
        <v>99.8</v>
      </c>
    </row>
    <row r="39" spans="1:64" x14ac:dyDescent="0.2">
      <c r="A39" s="2" t="s">
        <v>34</v>
      </c>
      <c r="B39" s="2">
        <v>851</v>
      </c>
      <c r="C39" s="2">
        <v>92032</v>
      </c>
      <c r="D39" s="2">
        <v>8.43</v>
      </c>
      <c r="E39" s="2">
        <v>18.811399999999999</v>
      </c>
      <c r="F39" s="2">
        <v>2.2000000000000002</v>
      </c>
      <c r="G39" s="2">
        <v>0.39571000000000001</v>
      </c>
      <c r="H39" s="2">
        <v>3</v>
      </c>
      <c r="I39" s="2">
        <v>5.4011999999999998E-2</v>
      </c>
      <c r="J39" s="2">
        <v>2</v>
      </c>
      <c r="K39" s="2">
        <v>0.67200000000000004</v>
      </c>
      <c r="L39" s="2">
        <v>339.1</v>
      </c>
      <c r="M39" s="2">
        <v>6.7</v>
      </c>
      <c r="N39" s="2">
        <v>338.5</v>
      </c>
      <c r="O39" s="2">
        <v>8.6999999999999993</v>
      </c>
      <c r="P39" s="2">
        <v>334.6</v>
      </c>
      <c r="Q39" s="2">
        <v>50.6</v>
      </c>
      <c r="R39" s="2">
        <v>339.1</v>
      </c>
      <c r="S39" s="2">
        <v>6.7</v>
      </c>
      <c r="T39" s="2">
        <v>101.3</v>
      </c>
      <c r="AS39" s="2" t="s">
        <v>370</v>
      </c>
      <c r="AT39" s="2">
        <v>765</v>
      </c>
      <c r="AU39" s="2">
        <v>105297</v>
      </c>
      <c r="AV39" s="2">
        <v>6.27</v>
      </c>
      <c r="AW39" s="2">
        <v>16.9345</v>
      </c>
      <c r="AX39" s="2">
        <v>1.9</v>
      </c>
      <c r="AY39" s="2">
        <v>0.73372999999999999</v>
      </c>
      <c r="AZ39" s="2">
        <v>3.2</v>
      </c>
      <c r="BA39" s="2">
        <v>9.0158000000000002E-2</v>
      </c>
      <c r="BB39" s="2">
        <v>2.5</v>
      </c>
      <c r="BC39" s="2">
        <v>0.78900000000000003</v>
      </c>
      <c r="BD39" s="2">
        <v>556.5</v>
      </c>
      <c r="BE39" s="2">
        <v>13.4</v>
      </c>
      <c r="BF39" s="2">
        <v>558.70000000000005</v>
      </c>
      <c r="BG39" s="2">
        <v>13.6</v>
      </c>
      <c r="BH39" s="2">
        <v>568</v>
      </c>
      <c r="BI39" s="2">
        <v>42.5</v>
      </c>
      <c r="BJ39" s="2">
        <v>556.5</v>
      </c>
      <c r="BK39" s="2">
        <v>13.4</v>
      </c>
      <c r="BL39" s="2">
        <v>98</v>
      </c>
    </row>
    <row r="40" spans="1:64" x14ac:dyDescent="0.2">
      <c r="A40" s="2" t="s">
        <v>530</v>
      </c>
      <c r="B40" s="2">
        <v>487</v>
      </c>
      <c r="C40" s="2">
        <v>46999</v>
      </c>
      <c r="D40" s="2">
        <v>1.2</v>
      </c>
      <c r="E40" s="2">
        <v>18.691800000000001</v>
      </c>
      <c r="F40" s="2">
        <v>3.2</v>
      </c>
      <c r="G40" s="2">
        <v>0.38822000000000001</v>
      </c>
      <c r="H40" s="2">
        <v>3.8</v>
      </c>
      <c r="I40" s="2">
        <v>5.2652999999999998E-2</v>
      </c>
      <c r="J40" s="2">
        <v>2.1</v>
      </c>
      <c r="K40" s="2">
        <v>0.54400000000000004</v>
      </c>
      <c r="L40" s="2">
        <v>330.8</v>
      </c>
      <c r="M40" s="2">
        <v>6.6</v>
      </c>
      <c r="N40" s="2">
        <v>333.1</v>
      </c>
      <c r="O40" s="2">
        <v>10.8</v>
      </c>
      <c r="P40" s="2">
        <v>349</v>
      </c>
      <c r="Q40" s="2">
        <v>71.900000000000006</v>
      </c>
      <c r="R40" s="2">
        <v>330.8</v>
      </c>
      <c r="S40" s="2">
        <v>6.6</v>
      </c>
      <c r="T40" s="2">
        <v>94.8</v>
      </c>
      <c r="AS40" s="2" t="s">
        <v>373</v>
      </c>
      <c r="AT40" s="2">
        <v>771</v>
      </c>
      <c r="AU40" s="2">
        <v>54972</v>
      </c>
      <c r="AV40" s="2">
        <v>1.47</v>
      </c>
      <c r="AW40" s="2">
        <v>18.199100000000001</v>
      </c>
      <c r="AX40" s="2">
        <v>2.1</v>
      </c>
      <c r="AY40" s="2">
        <v>0.51717999999999997</v>
      </c>
      <c r="AZ40" s="2">
        <v>3.9</v>
      </c>
      <c r="BA40" s="2">
        <v>6.8294999999999995E-2</v>
      </c>
      <c r="BB40" s="2">
        <v>3.3</v>
      </c>
      <c r="BC40" s="2">
        <v>0.84199999999999997</v>
      </c>
      <c r="BD40" s="2">
        <v>425.9</v>
      </c>
      <c r="BE40" s="2">
        <v>13.7</v>
      </c>
      <c r="BF40" s="2">
        <v>423.3</v>
      </c>
      <c r="BG40" s="2">
        <v>13.6</v>
      </c>
      <c r="BH40" s="2">
        <v>409.1</v>
      </c>
      <c r="BI40" s="2">
        <v>47.6</v>
      </c>
      <c r="BJ40" s="2">
        <v>425.9</v>
      </c>
      <c r="BK40" s="2">
        <v>13.7</v>
      </c>
      <c r="BL40" s="2">
        <v>104.1</v>
      </c>
    </row>
    <row r="41" spans="1:64" x14ac:dyDescent="0.2">
      <c r="A41" s="2" t="s">
        <v>529</v>
      </c>
      <c r="B41" s="2">
        <v>139</v>
      </c>
      <c r="C41" s="2">
        <v>6174</v>
      </c>
      <c r="D41" s="2">
        <v>1.69</v>
      </c>
      <c r="E41" s="2">
        <v>19.584099999999999</v>
      </c>
      <c r="F41" s="2">
        <v>8.3000000000000007</v>
      </c>
      <c r="G41" s="2">
        <v>0.37581999999999999</v>
      </c>
      <c r="H41" s="2">
        <v>8.6999999999999993</v>
      </c>
      <c r="I41" s="2">
        <v>5.3404E-2</v>
      </c>
      <c r="J41" s="2">
        <v>2.8</v>
      </c>
      <c r="K41" s="2">
        <v>0.317</v>
      </c>
      <c r="L41" s="2">
        <v>335.4</v>
      </c>
      <c r="M41" s="2">
        <v>9.1</v>
      </c>
      <c r="N41" s="2">
        <v>324</v>
      </c>
      <c r="O41" s="2">
        <v>24.2</v>
      </c>
      <c r="P41" s="2">
        <v>242.6</v>
      </c>
      <c r="Q41" s="2">
        <v>191.1</v>
      </c>
      <c r="R41" s="2">
        <v>335.4</v>
      </c>
      <c r="S41" s="2">
        <v>9.1</v>
      </c>
      <c r="T41" s="2">
        <v>138.30000000000001</v>
      </c>
      <c r="AS41" s="2" t="s">
        <v>369</v>
      </c>
      <c r="AT41" s="2">
        <v>196</v>
      </c>
      <c r="AU41" s="2">
        <v>57737</v>
      </c>
      <c r="AV41" s="2">
        <v>1.86</v>
      </c>
      <c r="AW41" s="2">
        <v>12.993</v>
      </c>
      <c r="AX41" s="2">
        <v>2.4</v>
      </c>
      <c r="AY41" s="2">
        <v>1.98793</v>
      </c>
      <c r="AZ41" s="2">
        <v>4</v>
      </c>
      <c r="BA41" s="2">
        <v>0.187415</v>
      </c>
      <c r="BB41" s="2">
        <v>3.2</v>
      </c>
      <c r="BC41" s="2">
        <v>0.80100000000000005</v>
      </c>
      <c r="BD41" s="2">
        <v>1107.4000000000001</v>
      </c>
      <c r="BE41" s="2">
        <v>32.9</v>
      </c>
      <c r="BF41" s="2">
        <v>1111.4000000000001</v>
      </c>
      <c r="BG41" s="2">
        <v>27.3</v>
      </c>
      <c r="BH41" s="2">
        <v>1119.4000000000001</v>
      </c>
      <c r="BI41" s="2">
        <v>48.4</v>
      </c>
      <c r="BJ41" s="2">
        <v>1119.4000000000001</v>
      </c>
      <c r="BK41" s="2">
        <v>48.4</v>
      </c>
      <c r="BL41" s="2">
        <v>98.9</v>
      </c>
    </row>
    <row r="42" spans="1:64" x14ac:dyDescent="0.2">
      <c r="A42" s="2" t="s">
        <v>528</v>
      </c>
      <c r="B42" s="2">
        <v>209</v>
      </c>
      <c r="C42" s="2">
        <v>24924</v>
      </c>
      <c r="D42" s="2">
        <v>1.6</v>
      </c>
      <c r="E42" s="2">
        <v>18.9604</v>
      </c>
      <c r="F42" s="2">
        <v>4.3</v>
      </c>
      <c r="G42" s="2">
        <v>0.38118999999999997</v>
      </c>
      <c r="H42" s="2">
        <v>5.3</v>
      </c>
      <c r="I42" s="2">
        <v>5.2442000000000003E-2</v>
      </c>
      <c r="J42" s="2">
        <v>3</v>
      </c>
      <c r="K42" s="2">
        <v>0.56799999999999995</v>
      </c>
      <c r="L42" s="2">
        <v>329.5</v>
      </c>
      <c r="M42" s="2">
        <v>9.6</v>
      </c>
      <c r="N42" s="2">
        <v>327.9</v>
      </c>
      <c r="O42" s="2">
        <v>14.8</v>
      </c>
      <c r="P42" s="2">
        <v>316.7</v>
      </c>
      <c r="Q42" s="2">
        <v>98.7</v>
      </c>
      <c r="R42" s="2">
        <v>329.5</v>
      </c>
      <c r="S42" s="2">
        <v>9.6</v>
      </c>
      <c r="T42" s="2">
        <v>104</v>
      </c>
      <c r="AS42" s="2" t="s">
        <v>372</v>
      </c>
      <c r="AT42" s="2">
        <v>685</v>
      </c>
      <c r="AU42" s="2">
        <v>134318</v>
      </c>
      <c r="AV42" s="2">
        <v>6.35</v>
      </c>
      <c r="AW42" s="2">
        <v>17.1312</v>
      </c>
      <c r="AX42" s="2">
        <v>1.9</v>
      </c>
      <c r="AY42" s="2">
        <v>0.71918000000000004</v>
      </c>
      <c r="AZ42" s="2">
        <v>2.7</v>
      </c>
      <c r="BA42" s="2">
        <v>8.9397000000000004E-2</v>
      </c>
      <c r="BB42" s="2">
        <v>2</v>
      </c>
      <c r="BC42" s="2">
        <v>0.73499999999999999</v>
      </c>
      <c r="BD42" s="2">
        <v>552</v>
      </c>
      <c r="BE42" s="2">
        <v>10.7</v>
      </c>
      <c r="BF42" s="2">
        <v>550.20000000000005</v>
      </c>
      <c r="BG42" s="2">
        <v>11.7</v>
      </c>
      <c r="BH42" s="2">
        <v>542.79999999999995</v>
      </c>
      <c r="BI42" s="2">
        <v>40.700000000000003</v>
      </c>
      <c r="BJ42" s="2">
        <v>552</v>
      </c>
      <c r="BK42" s="2">
        <v>10.7</v>
      </c>
      <c r="BL42" s="2">
        <v>101.7</v>
      </c>
    </row>
    <row r="43" spans="1:64" x14ac:dyDescent="0.2">
      <c r="A43" s="2" t="s">
        <v>527</v>
      </c>
      <c r="B43" s="2">
        <v>129</v>
      </c>
      <c r="C43" s="2">
        <v>11103</v>
      </c>
      <c r="D43" s="2">
        <v>1.59</v>
      </c>
      <c r="E43" s="2">
        <v>19.311900000000001</v>
      </c>
      <c r="F43" s="2">
        <v>6.5</v>
      </c>
      <c r="G43" s="2">
        <v>0.37431999999999999</v>
      </c>
      <c r="H43" s="2">
        <v>7.1</v>
      </c>
      <c r="I43" s="2">
        <v>5.2451999999999999E-2</v>
      </c>
      <c r="J43" s="2">
        <v>3</v>
      </c>
      <c r="K43" s="2">
        <v>0.41699999999999998</v>
      </c>
      <c r="L43" s="2">
        <v>329.6</v>
      </c>
      <c r="M43" s="2">
        <v>9.5</v>
      </c>
      <c r="N43" s="2">
        <v>322.89999999999998</v>
      </c>
      <c r="O43" s="2">
        <v>19.7</v>
      </c>
      <c r="P43" s="2">
        <v>274.7</v>
      </c>
      <c r="Q43" s="2">
        <v>148.30000000000001</v>
      </c>
      <c r="R43" s="2">
        <v>329.6</v>
      </c>
      <c r="S43" s="2">
        <v>9.5</v>
      </c>
      <c r="T43" s="2">
        <v>120</v>
      </c>
      <c r="AS43" s="2" t="s">
        <v>371</v>
      </c>
      <c r="AT43" s="2">
        <v>162</v>
      </c>
      <c r="AU43" s="2">
        <v>1517445</v>
      </c>
      <c r="AV43" s="2">
        <v>2.15</v>
      </c>
      <c r="AW43" s="2">
        <v>13.005100000000001</v>
      </c>
      <c r="AX43" s="2">
        <v>1.9</v>
      </c>
      <c r="AY43" s="2">
        <v>1.95669</v>
      </c>
      <c r="AZ43" s="2">
        <v>4</v>
      </c>
      <c r="BA43" s="2">
        <v>0.184642</v>
      </c>
      <c r="BB43" s="2">
        <v>3.5</v>
      </c>
      <c r="BC43" s="2">
        <v>0.88100000000000001</v>
      </c>
      <c r="BD43" s="2">
        <v>1092.3</v>
      </c>
      <c r="BE43" s="2">
        <v>35.5</v>
      </c>
      <c r="BF43" s="2">
        <v>1100.7</v>
      </c>
      <c r="BG43" s="2">
        <v>26.9</v>
      </c>
      <c r="BH43" s="2">
        <v>1117.5</v>
      </c>
      <c r="BI43" s="2">
        <v>37.799999999999997</v>
      </c>
      <c r="BJ43" s="2">
        <v>1117.5</v>
      </c>
      <c r="BK43" s="2">
        <v>37.799999999999997</v>
      </c>
      <c r="BL43" s="2">
        <v>97.7</v>
      </c>
    </row>
    <row r="44" spans="1:64" x14ac:dyDescent="0.2">
      <c r="A44" s="2" t="s">
        <v>526</v>
      </c>
      <c r="B44" s="2">
        <v>433</v>
      </c>
      <c r="C44" s="2">
        <v>36877</v>
      </c>
      <c r="D44" s="2">
        <v>1.83</v>
      </c>
      <c r="E44" s="2">
        <v>18.8062</v>
      </c>
      <c r="F44" s="2">
        <v>3.2</v>
      </c>
      <c r="G44" s="2">
        <v>0.39024999999999999</v>
      </c>
      <c r="H44" s="2">
        <v>4.0999999999999996</v>
      </c>
      <c r="I44" s="2">
        <v>5.3252000000000001E-2</v>
      </c>
      <c r="J44" s="2">
        <v>2.5</v>
      </c>
      <c r="K44" s="2">
        <v>0.61799999999999999</v>
      </c>
      <c r="L44" s="2">
        <v>334.5</v>
      </c>
      <c r="M44" s="2">
        <v>8.1999999999999993</v>
      </c>
      <c r="N44" s="2">
        <v>334.5</v>
      </c>
      <c r="O44" s="2">
        <v>11.6</v>
      </c>
      <c r="P44" s="2">
        <v>335.2</v>
      </c>
      <c r="Q44" s="2">
        <v>72.400000000000006</v>
      </c>
      <c r="R44" s="2">
        <v>334.5</v>
      </c>
      <c r="S44" s="2">
        <v>8.1999999999999993</v>
      </c>
      <c r="T44" s="2">
        <v>99.8</v>
      </c>
      <c r="AS44" s="2" t="s">
        <v>375</v>
      </c>
      <c r="AT44" s="2">
        <v>706</v>
      </c>
      <c r="AU44" s="2">
        <v>52295</v>
      </c>
      <c r="AV44" s="2">
        <v>6.47</v>
      </c>
      <c r="AW44" s="2">
        <v>16.912500000000001</v>
      </c>
      <c r="AX44" s="2">
        <v>2</v>
      </c>
      <c r="AY44" s="2">
        <v>0.73226000000000002</v>
      </c>
      <c r="AZ44" s="2">
        <v>3.2</v>
      </c>
      <c r="BA44" s="2">
        <v>8.9859999999999995E-2</v>
      </c>
      <c r="BB44" s="2">
        <v>2.5</v>
      </c>
      <c r="BC44" s="2">
        <v>0.78400000000000003</v>
      </c>
      <c r="BD44" s="2">
        <v>554.70000000000005</v>
      </c>
      <c r="BE44" s="2">
        <v>13.4</v>
      </c>
      <c r="BF44" s="2">
        <v>557.9</v>
      </c>
      <c r="BG44" s="2">
        <v>13.8</v>
      </c>
      <c r="BH44" s="2">
        <v>570.9</v>
      </c>
      <c r="BI44" s="2">
        <v>43.4</v>
      </c>
      <c r="BJ44" s="2">
        <v>554.70000000000005</v>
      </c>
      <c r="BK44" s="2">
        <v>13.4</v>
      </c>
      <c r="BL44" s="2">
        <v>97.2</v>
      </c>
    </row>
    <row r="45" spans="1:64" x14ac:dyDescent="0.2">
      <c r="A45" s="2" t="s">
        <v>525</v>
      </c>
      <c r="B45" s="2">
        <v>246</v>
      </c>
      <c r="C45" s="2">
        <v>12128</v>
      </c>
      <c r="D45" s="2">
        <v>1.55</v>
      </c>
      <c r="E45" s="2">
        <v>18.922599999999999</v>
      </c>
      <c r="F45" s="2">
        <v>4.5999999999999996</v>
      </c>
      <c r="G45" s="2">
        <v>0.37274000000000002</v>
      </c>
      <c r="H45" s="2">
        <v>5.4</v>
      </c>
      <c r="I45" s="2">
        <v>5.1177E-2</v>
      </c>
      <c r="J45" s="2">
        <v>2.7</v>
      </c>
      <c r="K45" s="2">
        <v>0.50900000000000001</v>
      </c>
      <c r="L45" s="2">
        <v>321.7</v>
      </c>
      <c r="M45" s="2">
        <v>8.6</v>
      </c>
      <c r="N45" s="2">
        <v>321.7</v>
      </c>
      <c r="O45" s="2">
        <v>14.8</v>
      </c>
      <c r="P45" s="2">
        <v>321.2</v>
      </c>
      <c r="Q45" s="2">
        <v>105</v>
      </c>
      <c r="R45" s="2">
        <v>321.7</v>
      </c>
      <c r="S45" s="2">
        <v>8.6</v>
      </c>
      <c r="T45" s="2">
        <v>100.2</v>
      </c>
      <c r="AS45" s="2" t="s">
        <v>376</v>
      </c>
      <c r="AT45" s="2">
        <v>692</v>
      </c>
      <c r="AU45" s="2">
        <v>239308</v>
      </c>
      <c r="AV45" s="2">
        <v>6.32</v>
      </c>
      <c r="AW45" s="2">
        <v>16.908100000000001</v>
      </c>
      <c r="AX45" s="2">
        <v>1.8</v>
      </c>
      <c r="AY45" s="2">
        <v>0.73723000000000005</v>
      </c>
      <c r="AZ45" s="2">
        <v>3.1</v>
      </c>
      <c r="BA45" s="2">
        <v>9.0447E-2</v>
      </c>
      <c r="BB45" s="2">
        <v>2.5</v>
      </c>
      <c r="BC45" s="2">
        <v>0.81599999999999995</v>
      </c>
      <c r="BD45" s="2">
        <v>558.20000000000005</v>
      </c>
      <c r="BE45" s="2">
        <v>13.4</v>
      </c>
      <c r="BF45" s="2">
        <v>560.79999999999995</v>
      </c>
      <c r="BG45" s="2">
        <v>13.3</v>
      </c>
      <c r="BH45" s="2">
        <v>571.4</v>
      </c>
      <c r="BI45" s="2">
        <v>38.700000000000003</v>
      </c>
      <c r="BJ45" s="2">
        <v>558.20000000000005</v>
      </c>
      <c r="BK45" s="2">
        <v>13.4</v>
      </c>
      <c r="BL45" s="2">
        <v>97.7</v>
      </c>
    </row>
    <row r="46" spans="1:64" x14ac:dyDescent="0.2">
      <c r="A46" s="2" t="s">
        <v>65</v>
      </c>
      <c r="B46" s="2">
        <v>761</v>
      </c>
      <c r="C46" s="2">
        <v>305574</v>
      </c>
      <c r="D46" s="2">
        <v>10.83</v>
      </c>
      <c r="E46" s="2">
        <v>18.783899999999999</v>
      </c>
      <c r="F46" s="2">
        <v>2.5</v>
      </c>
      <c r="G46" s="2">
        <v>0.39743000000000001</v>
      </c>
      <c r="H46" s="2">
        <v>3.6</v>
      </c>
      <c r="I46" s="2">
        <v>5.4167E-2</v>
      </c>
      <c r="J46" s="2">
        <v>2.6</v>
      </c>
      <c r="K46" s="2">
        <v>0.71399999999999997</v>
      </c>
      <c r="L46" s="2">
        <v>340.1</v>
      </c>
      <c r="M46" s="2">
        <v>8.5</v>
      </c>
      <c r="N46" s="2">
        <v>339.8</v>
      </c>
      <c r="O46" s="2">
        <v>10.4</v>
      </c>
      <c r="P46" s="2">
        <v>337.9</v>
      </c>
      <c r="Q46" s="2">
        <v>57</v>
      </c>
      <c r="R46" s="2">
        <v>340.1</v>
      </c>
      <c r="S46" s="2">
        <v>8.5</v>
      </c>
      <c r="T46" s="2">
        <v>100.7</v>
      </c>
      <c r="AS46" s="2" t="s">
        <v>381</v>
      </c>
      <c r="AT46" s="2">
        <v>785</v>
      </c>
      <c r="AU46" s="2">
        <v>116712</v>
      </c>
      <c r="AV46" s="2">
        <v>1.46</v>
      </c>
      <c r="AW46" s="2">
        <v>17.923999999999999</v>
      </c>
      <c r="AX46" s="2">
        <v>1.7</v>
      </c>
      <c r="AY46" s="2">
        <v>0.53154000000000001</v>
      </c>
      <c r="AZ46" s="2">
        <v>3.1</v>
      </c>
      <c r="BA46" s="2">
        <v>6.9128999999999996E-2</v>
      </c>
      <c r="BB46" s="2">
        <v>2.6</v>
      </c>
      <c r="BC46" s="2">
        <v>0.83499999999999996</v>
      </c>
      <c r="BD46" s="2">
        <v>430.9</v>
      </c>
      <c r="BE46" s="2">
        <v>10.9</v>
      </c>
      <c r="BF46" s="2">
        <v>432.8</v>
      </c>
      <c r="BG46" s="2">
        <v>11</v>
      </c>
      <c r="BH46" s="2">
        <v>443</v>
      </c>
      <c r="BI46" s="2">
        <v>38.299999999999997</v>
      </c>
      <c r="BJ46" s="2">
        <v>430.9</v>
      </c>
      <c r="BK46" s="2">
        <v>10.9</v>
      </c>
      <c r="BL46" s="2">
        <v>97.3</v>
      </c>
    </row>
    <row r="47" spans="1:64" x14ac:dyDescent="0.2">
      <c r="A47" s="2" t="s">
        <v>524</v>
      </c>
      <c r="B47" s="2">
        <v>220</v>
      </c>
      <c r="C47" s="2">
        <v>14243</v>
      </c>
      <c r="D47" s="2">
        <v>2.04</v>
      </c>
      <c r="E47" s="2">
        <v>16.936900000000001</v>
      </c>
      <c r="F47" s="2">
        <v>8.1</v>
      </c>
      <c r="G47" s="2">
        <v>0.43514000000000003</v>
      </c>
      <c r="H47" s="2">
        <v>8.6999999999999993</v>
      </c>
      <c r="I47" s="2">
        <v>5.3475000000000002E-2</v>
      </c>
      <c r="J47" s="2">
        <v>3.3</v>
      </c>
      <c r="K47" s="2">
        <v>0.374</v>
      </c>
      <c r="L47" s="2">
        <v>335.8</v>
      </c>
      <c r="M47" s="2">
        <v>10.7</v>
      </c>
      <c r="N47" s="2">
        <v>366.8</v>
      </c>
      <c r="O47" s="2">
        <v>26.9</v>
      </c>
      <c r="P47" s="2">
        <v>567.70000000000005</v>
      </c>
      <c r="Q47" s="2">
        <v>176.3</v>
      </c>
      <c r="R47" s="2">
        <v>335.8</v>
      </c>
      <c r="S47" s="2">
        <v>10.7</v>
      </c>
      <c r="T47" s="2">
        <v>59.2</v>
      </c>
      <c r="AS47" s="2" t="s">
        <v>374</v>
      </c>
      <c r="AT47" s="2">
        <v>224</v>
      </c>
      <c r="AU47" s="2">
        <v>94422</v>
      </c>
      <c r="AV47" s="2">
        <v>1.73</v>
      </c>
      <c r="AW47" s="2">
        <v>13.0352</v>
      </c>
      <c r="AX47" s="2">
        <v>1.9</v>
      </c>
      <c r="AY47" s="2">
        <v>1.96753</v>
      </c>
      <c r="AZ47" s="2">
        <v>3.2</v>
      </c>
      <c r="BA47" s="2">
        <v>0.18609500000000001</v>
      </c>
      <c r="BB47" s="2">
        <v>2.6</v>
      </c>
      <c r="BC47" s="2">
        <v>0.81100000000000005</v>
      </c>
      <c r="BD47" s="2">
        <v>1100.2</v>
      </c>
      <c r="BE47" s="2">
        <v>26.4</v>
      </c>
      <c r="BF47" s="2">
        <v>1104.5</v>
      </c>
      <c r="BG47" s="2">
        <v>21.6</v>
      </c>
      <c r="BH47" s="2">
        <v>1112.9000000000001</v>
      </c>
      <c r="BI47" s="2">
        <v>37.5</v>
      </c>
      <c r="BJ47" s="2">
        <v>1112.9000000000001</v>
      </c>
      <c r="BK47" s="2">
        <v>37.5</v>
      </c>
      <c r="BL47" s="2">
        <v>98.9</v>
      </c>
    </row>
    <row r="48" spans="1:64" x14ac:dyDescent="0.2">
      <c r="A48" s="2" t="s">
        <v>523</v>
      </c>
      <c r="B48" s="2">
        <v>105</v>
      </c>
      <c r="C48" s="2">
        <v>43565</v>
      </c>
      <c r="D48" s="2">
        <v>2.14</v>
      </c>
      <c r="E48" s="2">
        <v>19.725200000000001</v>
      </c>
      <c r="F48" s="2">
        <v>3.8</v>
      </c>
      <c r="G48" s="2">
        <v>0.37564999999999998</v>
      </c>
      <c r="H48" s="2">
        <v>6.1</v>
      </c>
      <c r="I48" s="2">
        <v>5.3765E-2</v>
      </c>
      <c r="J48" s="2">
        <v>4.7</v>
      </c>
      <c r="K48" s="2">
        <v>0.77900000000000003</v>
      </c>
      <c r="L48" s="2">
        <v>337.6</v>
      </c>
      <c r="M48" s="2">
        <v>15.5</v>
      </c>
      <c r="N48" s="2">
        <v>323.8</v>
      </c>
      <c r="O48" s="2">
        <v>16.8</v>
      </c>
      <c r="P48" s="2">
        <v>226</v>
      </c>
      <c r="Q48" s="2">
        <v>87.9</v>
      </c>
      <c r="R48" s="2">
        <v>337.6</v>
      </c>
      <c r="S48" s="2">
        <v>15.5</v>
      </c>
      <c r="T48" s="2">
        <v>149.4</v>
      </c>
      <c r="AS48" s="2" t="s">
        <v>379</v>
      </c>
      <c r="AT48" s="2">
        <v>678</v>
      </c>
      <c r="AU48" s="2">
        <v>35086</v>
      </c>
      <c r="AV48" s="2">
        <v>6.41</v>
      </c>
      <c r="AW48" s="2">
        <v>17.1922</v>
      </c>
      <c r="AX48" s="2">
        <v>1.8</v>
      </c>
      <c r="AY48" s="2">
        <v>0.72450999999999999</v>
      </c>
      <c r="AZ48" s="2">
        <v>2.8</v>
      </c>
      <c r="BA48" s="2">
        <v>9.0380000000000002E-2</v>
      </c>
      <c r="BB48" s="2">
        <v>2.1</v>
      </c>
      <c r="BC48" s="2">
        <v>0.76800000000000002</v>
      </c>
      <c r="BD48" s="2">
        <v>557.79999999999995</v>
      </c>
      <c r="BE48" s="2">
        <v>11.3</v>
      </c>
      <c r="BF48" s="2">
        <v>553.29999999999995</v>
      </c>
      <c r="BG48" s="2">
        <v>11.8</v>
      </c>
      <c r="BH48" s="2">
        <v>535</v>
      </c>
      <c r="BI48" s="2">
        <v>38.700000000000003</v>
      </c>
      <c r="BJ48" s="2">
        <v>557.79999999999995</v>
      </c>
      <c r="BK48" s="2">
        <v>11.3</v>
      </c>
      <c r="BL48" s="2">
        <v>104.3</v>
      </c>
    </row>
    <row r="49" spans="1:64" x14ac:dyDescent="0.2">
      <c r="A49" s="2" t="s">
        <v>522</v>
      </c>
      <c r="B49" s="2">
        <v>810</v>
      </c>
      <c r="C49" s="2">
        <v>110318</v>
      </c>
      <c r="D49" s="2">
        <v>1.04</v>
      </c>
      <c r="E49" s="2">
        <v>18.683299999999999</v>
      </c>
      <c r="F49" s="2">
        <v>2.8</v>
      </c>
      <c r="G49" s="2">
        <v>0.39438000000000001</v>
      </c>
      <c r="H49" s="2">
        <v>3.6</v>
      </c>
      <c r="I49" s="2">
        <v>5.3464999999999999E-2</v>
      </c>
      <c r="J49" s="2">
        <v>2.2999999999999998</v>
      </c>
      <c r="K49" s="2">
        <v>0.63100000000000001</v>
      </c>
      <c r="L49" s="2">
        <v>335.8</v>
      </c>
      <c r="M49" s="2">
        <v>7.4</v>
      </c>
      <c r="N49" s="2">
        <v>337.6</v>
      </c>
      <c r="O49" s="2">
        <v>10.3</v>
      </c>
      <c r="P49" s="2">
        <v>350.1</v>
      </c>
      <c r="Q49" s="2">
        <v>63</v>
      </c>
      <c r="R49" s="2">
        <v>335.8</v>
      </c>
      <c r="S49" s="2">
        <v>7.4</v>
      </c>
      <c r="T49" s="2">
        <v>95.9</v>
      </c>
      <c r="AS49" s="2" t="s">
        <v>521</v>
      </c>
      <c r="AT49" s="2">
        <v>315</v>
      </c>
      <c r="AU49" s="2">
        <v>109211</v>
      </c>
      <c r="AV49" s="2">
        <v>2.5</v>
      </c>
      <c r="AW49" s="2">
        <v>13.2164</v>
      </c>
      <c r="AX49" s="2">
        <v>2.2000000000000002</v>
      </c>
      <c r="AY49" s="2">
        <v>1.9858899999999999</v>
      </c>
      <c r="AZ49" s="2">
        <v>3.7</v>
      </c>
      <c r="BA49" s="2">
        <v>0.190442</v>
      </c>
      <c r="BB49" s="2">
        <v>3</v>
      </c>
      <c r="BC49" s="2">
        <v>0.80800000000000005</v>
      </c>
      <c r="BD49" s="2">
        <v>1123.8</v>
      </c>
      <c r="BE49" s="2">
        <v>31.1</v>
      </c>
      <c r="BF49" s="2">
        <v>1110.7</v>
      </c>
      <c r="BG49" s="2">
        <v>25.2</v>
      </c>
      <c r="BH49" s="2">
        <v>1085.3</v>
      </c>
      <c r="BI49" s="2">
        <v>44.1</v>
      </c>
      <c r="BJ49" s="2">
        <v>1085.3</v>
      </c>
      <c r="BK49" s="2">
        <v>44.1</v>
      </c>
      <c r="BL49" s="2">
        <v>103.5</v>
      </c>
    </row>
    <row r="50" spans="1:64" x14ac:dyDescent="0.2">
      <c r="A50" s="2" t="s">
        <v>520</v>
      </c>
      <c r="B50" s="2">
        <v>281</v>
      </c>
      <c r="C50" s="2">
        <v>58293</v>
      </c>
      <c r="D50" s="2">
        <v>2.08</v>
      </c>
      <c r="E50" s="2">
        <v>18.974499999999999</v>
      </c>
      <c r="F50" s="2">
        <v>3.9</v>
      </c>
      <c r="G50" s="2">
        <v>0.39693000000000001</v>
      </c>
      <c r="H50" s="2">
        <v>4.8</v>
      </c>
      <c r="I50" s="2">
        <v>5.4649000000000003E-2</v>
      </c>
      <c r="J50" s="2">
        <v>2.8</v>
      </c>
      <c r="K50" s="2">
        <v>0.57899999999999996</v>
      </c>
      <c r="L50" s="2">
        <v>343</v>
      </c>
      <c r="M50" s="2">
        <v>9.4</v>
      </c>
      <c r="N50" s="2">
        <v>339.4</v>
      </c>
      <c r="O50" s="2">
        <v>14</v>
      </c>
      <c r="P50" s="2">
        <v>315</v>
      </c>
      <c r="Q50" s="2">
        <v>89.7</v>
      </c>
      <c r="R50" s="2">
        <v>343</v>
      </c>
      <c r="S50" s="2">
        <v>9.4</v>
      </c>
      <c r="T50" s="2">
        <v>108.9</v>
      </c>
      <c r="AS50" s="2" t="s">
        <v>519</v>
      </c>
      <c r="AT50" s="2">
        <v>715</v>
      </c>
      <c r="AU50" s="2">
        <v>141716</v>
      </c>
      <c r="AV50" s="2">
        <v>6.34</v>
      </c>
      <c r="AW50" s="2">
        <v>17.0456</v>
      </c>
      <c r="AX50" s="2">
        <v>2.1</v>
      </c>
      <c r="AY50" s="2">
        <v>0.71950999999999998</v>
      </c>
      <c r="AZ50" s="2">
        <v>2.9</v>
      </c>
      <c r="BA50" s="2">
        <v>8.899E-2</v>
      </c>
      <c r="BB50" s="2">
        <v>2.1</v>
      </c>
      <c r="BC50" s="2">
        <v>0.71099999999999997</v>
      </c>
      <c r="BD50" s="2">
        <v>549.6</v>
      </c>
      <c r="BE50" s="2">
        <v>10.9</v>
      </c>
      <c r="BF50" s="2">
        <v>550.4</v>
      </c>
      <c r="BG50" s="2">
        <v>12.4</v>
      </c>
      <c r="BH50" s="2">
        <v>553.79999999999995</v>
      </c>
      <c r="BI50" s="2">
        <v>44.8</v>
      </c>
      <c r="BJ50" s="2">
        <v>549.6</v>
      </c>
      <c r="BK50" s="2">
        <v>10.9</v>
      </c>
      <c r="BL50" s="2">
        <v>99.2</v>
      </c>
    </row>
    <row r="51" spans="1:64" x14ac:dyDescent="0.2">
      <c r="A51" s="2" t="s">
        <v>518</v>
      </c>
      <c r="B51" s="2">
        <v>170</v>
      </c>
      <c r="C51" s="2">
        <v>37112</v>
      </c>
      <c r="D51" s="2">
        <v>1.68</v>
      </c>
      <c r="E51" s="2">
        <v>18.6997</v>
      </c>
      <c r="F51" s="2">
        <v>4.7</v>
      </c>
      <c r="G51" s="2">
        <v>0.38528000000000001</v>
      </c>
      <c r="H51" s="2">
        <v>5.7</v>
      </c>
      <c r="I51" s="2">
        <v>5.2276999999999997E-2</v>
      </c>
      <c r="J51" s="2">
        <v>3.3</v>
      </c>
      <c r="K51" s="2">
        <v>0.57699999999999996</v>
      </c>
      <c r="L51" s="2">
        <v>328.5</v>
      </c>
      <c r="M51" s="2">
        <v>10.6</v>
      </c>
      <c r="N51" s="2">
        <v>330.9</v>
      </c>
      <c r="O51" s="2">
        <v>16.2</v>
      </c>
      <c r="P51" s="2">
        <v>348.1</v>
      </c>
      <c r="Q51" s="2">
        <v>105.9</v>
      </c>
      <c r="R51" s="2">
        <v>328.5</v>
      </c>
      <c r="S51" s="2">
        <v>10.6</v>
      </c>
      <c r="T51" s="2">
        <v>94.4</v>
      </c>
      <c r="AS51" s="2" t="s">
        <v>377</v>
      </c>
      <c r="AT51" s="2">
        <v>1252</v>
      </c>
      <c r="AU51" s="2">
        <v>1630216</v>
      </c>
      <c r="AV51" s="2">
        <v>2.4700000000000002</v>
      </c>
      <c r="AW51" s="2">
        <v>13.231400000000001</v>
      </c>
      <c r="AX51" s="2">
        <v>1.7</v>
      </c>
      <c r="AY51" s="2">
        <v>1.9595499999999999</v>
      </c>
      <c r="AZ51" s="2">
        <v>3</v>
      </c>
      <c r="BA51" s="2">
        <v>0.18812899999999999</v>
      </c>
      <c r="BB51" s="2">
        <v>2.6</v>
      </c>
      <c r="BC51" s="2">
        <v>0.83899999999999997</v>
      </c>
      <c r="BD51" s="2">
        <v>1111.2</v>
      </c>
      <c r="BE51" s="2">
        <v>26.1</v>
      </c>
      <c r="BF51" s="2">
        <v>1101.7</v>
      </c>
      <c r="BG51" s="2">
        <v>20.5</v>
      </c>
      <c r="BH51" s="2">
        <v>1083</v>
      </c>
      <c r="BI51" s="2">
        <v>33.200000000000003</v>
      </c>
      <c r="BJ51" s="2">
        <v>1083</v>
      </c>
      <c r="BK51" s="2">
        <v>33.200000000000003</v>
      </c>
      <c r="BL51" s="2">
        <v>102.6</v>
      </c>
    </row>
    <row r="52" spans="1:64" x14ac:dyDescent="0.2">
      <c r="A52" s="2" t="s">
        <v>517</v>
      </c>
      <c r="B52" s="2">
        <v>139</v>
      </c>
      <c r="C52" s="2">
        <v>20568</v>
      </c>
      <c r="D52" s="2">
        <v>1.66</v>
      </c>
      <c r="E52" s="2">
        <v>19.178899999999999</v>
      </c>
      <c r="F52" s="2">
        <v>4.3</v>
      </c>
      <c r="G52" s="2">
        <v>0.38185999999999998</v>
      </c>
      <c r="H52" s="2">
        <v>5.5</v>
      </c>
      <c r="I52" s="2">
        <v>5.314E-2</v>
      </c>
      <c r="J52" s="2">
        <v>3.4</v>
      </c>
      <c r="K52" s="2">
        <v>0.623</v>
      </c>
      <c r="L52" s="2">
        <v>333.8</v>
      </c>
      <c r="M52" s="2">
        <v>11.1</v>
      </c>
      <c r="N52" s="2">
        <v>328.4</v>
      </c>
      <c r="O52" s="2">
        <v>15.4</v>
      </c>
      <c r="P52" s="2">
        <v>290.5</v>
      </c>
      <c r="Q52" s="2">
        <v>98.3</v>
      </c>
      <c r="R52" s="2">
        <v>333.8</v>
      </c>
      <c r="S52" s="2">
        <v>11.1</v>
      </c>
      <c r="T52" s="2">
        <v>114.9</v>
      </c>
      <c r="AS52" s="2" t="s">
        <v>383</v>
      </c>
      <c r="AT52" s="2">
        <v>747</v>
      </c>
      <c r="AU52" s="2">
        <v>3408895</v>
      </c>
      <c r="AV52" s="2">
        <v>6.22</v>
      </c>
      <c r="AW52" s="2">
        <v>17.130299999999998</v>
      </c>
      <c r="AX52" s="2">
        <v>1.9</v>
      </c>
      <c r="AY52" s="2">
        <v>0.72902999999999996</v>
      </c>
      <c r="AZ52" s="2">
        <v>3.5</v>
      </c>
      <c r="BA52" s="2">
        <v>9.0617000000000003E-2</v>
      </c>
      <c r="BB52" s="2">
        <v>2.9</v>
      </c>
      <c r="BC52" s="2">
        <v>0.83299999999999996</v>
      </c>
      <c r="BD52" s="2">
        <v>559.20000000000005</v>
      </c>
      <c r="BE52" s="2">
        <v>15.7</v>
      </c>
      <c r="BF52" s="2">
        <v>556</v>
      </c>
      <c r="BG52" s="2">
        <v>15</v>
      </c>
      <c r="BH52" s="2">
        <v>542.9</v>
      </c>
      <c r="BI52" s="2">
        <v>42.5</v>
      </c>
      <c r="BJ52" s="2">
        <v>559.20000000000005</v>
      </c>
      <c r="BK52" s="2">
        <v>15.7</v>
      </c>
      <c r="BL52" s="2">
        <v>103</v>
      </c>
    </row>
    <row r="53" spans="1:64" x14ac:dyDescent="0.2">
      <c r="A53" s="2" t="s">
        <v>516</v>
      </c>
      <c r="B53" s="2">
        <v>278</v>
      </c>
      <c r="C53" s="2">
        <v>33389</v>
      </c>
      <c r="D53" s="2">
        <v>1.38</v>
      </c>
      <c r="E53" s="2">
        <v>18.982700000000001</v>
      </c>
      <c r="F53" s="2">
        <v>4.2</v>
      </c>
      <c r="G53" s="2">
        <v>0.38072</v>
      </c>
      <c r="H53" s="2">
        <v>4.9000000000000004</v>
      </c>
      <c r="I53" s="2">
        <v>5.2439E-2</v>
      </c>
      <c r="J53" s="2">
        <v>2.6</v>
      </c>
      <c r="K53" s="2">
        <v>0.52700000000000002</v>
      </c>
      <c r="L53" s="2">
        <v>329.5</v>
      </c>
      <c r="M53" s="2">
        <v>8.3000000000000007</v>
      </c>
      <c r="N53" s="2">
        <v>327.60000000000002</v>
      </c>
      <c r="O53" s="2">
        <v>13.8</v>
      </c>
      <c r="P53" s="2">
        <v>314</v>
      </c>
      <c r="Q53" s="2">
        <v>95.2</v>
      </c>
      <c r="R53" s="2">
        <v>329.5</v>
      </c>
      <c r="S53" s="2">
        <v>8.3000000000000007</v>
      </c>
      <c r="T53" s="2">
        <v>104.9</v>
      </c>
      <c r="AS53" s="2" t="s">
        <v>391</v>
      </c>
      <c r="AT53" s="2">
        <v>673</v>
      </c>
      <c r="AU53" s="2">
        <v>60738</v>
      </c>
      <c r="AV53" s="2">
        <v>1.35</v>
      </c>
      <c r="AW53" s="2">
        <v>17.777799999999999</v>
      </c>
      <c r="AX53" s="2">
        <v>1.8</v>
      </c>
      <c r="AY53" s="2">
        <v>0.51104000000000005</v>
      </c>
      <c r="AZ53" s="2">
        <v>3.3</v>
      </c>
      <c r="BA53" s="2">
        <v>6.5920999999999993E-2</v>
      </c>
      <c r="BB53" s="2">
        <v>2.7</v>
      </c>
      <c r="BC53" s="2">
        <v>0.83</v>
      </c>
      <c r="BD53" s="2">
        <v>411.5</v>
      </c>
      <c r="BE53" s="2">
        <v>10.9</v>
      </c>
      <c r="BF53" s="2">
        <v>419.1</v>
      </c>
      <c r="BG53" s="2">
        <v>11.3</v>
      </c>
      <c r="BH53" s="2">
        <v>461.2</v>
      </c>
      <c r="BI53" s="2">
        <v>40.799999999999997</v>
      </c>
      <c r="BJ53" s="2">
        <v>411.5</v>
      </c>
      <c r="BK53" s="2">
        <v>10.9</v>
      </c>
      <c r="BL53" s="2">
        <v>89.2</v>
      </c>
    </row>
    <row r="54" spans="1:64" x14ac:dyDescent="0.2">
      <c r="A54" s="2" t="s">
        <v>515</v>
      </c>
      <c r="B54" s="2">
        <v>159</v>
      </c>
      <c r="C54" s="2">
        <v>32729</v>
      </c>
      <c r="D54" s="2">
        <v>1.87</v>
      </c>
      <c r="E54" s="2">
        <v>18.5899</v>
      </c>
      <c r="F54" s="2">
        <v>4.0999999999999996</v>
      </c>
      <c r="G54" s="2">
        <v>0.39549000000000001</v>
      </c>
      <c r="H54" s="2">
        <v>5.4</v>
      </c>
      <c r="I54" s="2">
        <v>5.3346999999999999E-2</v>
      </c>
      <c r="J54" s="2">
        <v>3.5</v>
      </c>
      <c r="K54" s="2">
        <v>0.64700000000000002</v>
      </c>
      <c r="L54" s="2">
        <v>335</v>
      </c>
      <c r="M54" s="2">
        <v>11.4</v>
      </c>
      <c r="N54" s="2">
        <v>338.4</v>
      </c>
      <c r="O54" s="2">
        <v>15.5</v>
      </c>
      <c r="P54" s="2">
        <v>361.3</v>
      </c>
      <c r="Q54" s="2">
        <v>92.9</v>
      </c>
      <c r="R54" s="2">
        <v>335</v>
      </c>
      <c r="S54" s="2">
        <v>11.4</v>
      </c>
      <c r="T54" s="2">
        <v>92.7</v>
      </c>
      <c r="AS54" s="2" t="s">
        <v>378</v>
      </c>
      <c r="AT54" s="2">
        <v>359</v>
      </c>
      <c r="AU54" s="2">
        <v>1614166</v>
      </c>
      <c r="AV54" s="2">
        <v>1.97</v>
      </c>
      <c r="AW54" s="2">
        <v>12.9072</v>
      </c>
      <c r="AX54" s="2">
        <v>2</v>
      </c>
      <c r="AY54" s="2">
        <v>1.9967600000000001</v>
      </c>
      <c r="AZ54" s="2">
        <v>3.6</v>
      </c>
      <c r="BA54" s="2">
        <v>0.187005</v>
      </c>
      <c r="BB54" s="2">
        <v>3</v>
      </c>
      <c r="BC54" s="2">
        <v>0.83</v>
      </c>
      <c r="BD54" s="2">
        <v>1105.0999999999999</v>
      </c>
      <c r="BE54" s="2">
        <v>30.1</v>
      </c>
      <c r="BF54" s="2">
        <v>1114.4000000000001</v>
      </c>
      <c r="BG54" s="2">
        <v>24.2</v>
      </c>
      <c r="BH54" s="2">
        <v>1132.5999999999999</v>
      </c>
      <c r="BI54" s="2">
        <v>39.6</v>
      </c>
      <c r="BJ54" s="2">
        <v>1132.5999999999999</v>
      </c>
      <c r="BK54" s="2">
        <v>39.6</v>
      </c>
      <c r="BL54" s="2">
        <v>97.6</v>
      </c>
    </row>
    <row r="55" spans="1:64" x14ac:dyDescent="0.2">
      <c r="A55" s="2" t="s">
        <v>514</v>
      </c>
      <c r="B55" s="2">
        <v>223</v>
      </c>
      <c r="C55" s="2">
        <v>61186</v>
      </c>
      <c r="D55" s="2">
        <v>1.67</v>
      </c>
      <c r="E55" s="2">
        <v>19.215399999999999</v>
      </c>
      <c r="F55" s="2">
        <v>3.5</v>
      </c>
      <c r="G55" s="2">
        <v>0.38486999999999999</v>
      </c>
      <c r="H55" s="2">
        <v>5.0999999999999996</v>
      </c>
      <c r="I55" s="2">
        <v>5.3661E-2</v>
      </c>
      <c r="J55" s="2">
        <v>3.6</v>
      </c>
      <c r="K55" s="2">
        <v>0.71599999999999997</v>
      </c>
      <c r="L55" s="2">
        <v>337</v>
      </c>
      <c r="M55" s="2">
        <v>11.9</v>
      </c>
      <c r="N55" s="2">
        <v>330.6</v>
      </c>
      <c r="O55" s="2">
        <v>14.3</v>
      </c>
      <c r="P55" s="2">
        <v>286.2</v>
      </c>
      <c r="Q55" s="2">
        <v>80.599999999999994</v>
      </c>
      <c r="R55" s="2">
        <v>337</v>
      </c>
      <c r="S55" s="2">
        <v>11.9</v>
      </c>
      <c r="T55" s="2">
        <v>117.7</v>
      </c>
      <c r="AS55" s="2" t="s">
        <v>385</v>
      </c>
      <c r="AT55" s="2">
        <v>735</v>
      </c>
      <c r="AU55" s="2">
        <v>3342370</v>
      </c>
      <c r="AV55" s="2">
        <v>6.51</v>
      </c>
      <c r="AW55" s="2">
        <v>16.993600000000001</v>
      </c>
      <c r="AX55" s="2">
        <v>1.8</v>
      </c>
      <c r="AY55" s="2">
        <v>0.73218000000000005</v>
      </c>
      <c r="AZ55" s="2">
        <v>3.2</v>
      </c>
      <c r="BA55" s="2">
        <v>9.0281E-2</v>
      </c>
      <c r="BB55" s="2">
        <v>2.6</v>
      </c>
      <c r="BC55" s="2">
        <v>0.81899999999999995</v>
      </c>
      <c r="BD55" s="2">
        <v>557.20000000000005</v>
      </c>
      <c r="BE55" s="2">
        <v>13.9</v>
      </c>
      <c r="BF55" s="2">
        <v>557.79999999999995</v>
      </c>
      <c r="BG55" s="2">
        <v>13.7</v>
      </c>
      <c r="BH55" s="2">
        <v>560.4</v>
      </c>
      <c r="BI55" s="2">
        <v>39.799999999999997</v>
      </c>
      <c r="BJ55" s="2">
        <v>557.20000000000005</v>
      </c>
      <c r="BK55" s="2">
        <v>13.9</v>
      </c>
      <c r="BL55" s="2">
        <v>99.4</v>
      </c>
    </row>
    <row r="56" spans="1:64" x14ac:dyDescent="0.2">
      <c r="A56" s="2" t="s">
        <v>47</v>
      </c>
      <c r="B56" s="2">
        <v>729</v>
      </c>
      <c r="C56" s="2">
        <v>35974</v>
      </c>
      <c r="D56" s="2">
        <v>11.27</v>
      </c>
      <c r="E56" s="2">
        <v>18.7896</v>
      </c>
      <c r="F56" s="2">
        <v>2.8</v>
      </c>
      <c r="G56" s="2">
        <v>0.39306999999999997</v>
      </c>
      <c r="H56" s="2">
        <v>3.5</v>
      </c>
      <c r="I56" s="2">
        <v>5.3589999999999999E-2</v>
      </c>
      <c r="J56" s="2">
        <v>2.1</v>
      </c>
      <c r="K56" s="2">
        <v>0.61299999999999999</v>
      </c>
      <c r="L56" s="2">
        <v>336.5</v>
      </c>
      <c r="M56" s="2">
        <v>7</v>
      </c>
      <c r="N56" s="2">
        <v>336.6</v>
      </c>
      <c r="O56" s="2">
        <v>10</v>
      </c>
      <c r="P56" s="2">
        <v>337.2</v>
      </c>
      <c r="Q56" s="2">
        <v>62.4</v>
      </c>
      <c r="R56" s="2">
        <v>336.5</v>
      </c>
      <c r="S56" s="2">
        <v>7</v>
      </c>
      <c r="T56" s="2">
        <v>99.8</v>
      </c>
      <c r="AS56" s="2" t="s">
        <v>380</v>
      </c>
      <c r="AT56" s="2">
        <v>1559</v>
      </c>
      <c r="AU56" s="2">
        <v>208283</v>
      </c>
      <c r="AV56" s="2">
        <v>0.94</v>
      </c>
      <c r="AW56" s="2">
        <v>13.2883</v>
      </c>
      <c r="AX56" s="2">
        <v>1.6</v>
      </c>
      <c r="AY56" s="2">
        <v>1.9346300000000001</v>
      </c>
      <c r="AZ56" s="2">
        <v>3</v>
      </c>
      <c r="BA56" s="2">
        <v>0.18653600000000001</v>
      </c>
      <c r="BB56" s="2">
        <v>2.6</v>
      </c>
      <c r="BC56" s="2">
        <v>0.85399999999999998</v>
      </c>
      <c r="BD56" s="2">
        <v>1102.5999999999999</v>
      </c>
      <c r="BE56" s="2">
        <v>26.3</v>
      </c>
      <c r="BF56" s="2">
        <v>1093.0999999999999</v>
      </c>
      <c r="BG56" s="2">
        <v>20.3</v>
      </c>
      <c r="BH56" s="2">
        <v>1074.4000000000001</v>
      </c>
      <c r="BI56" s="2">
        <v>31.8</v>
      </c>
      <c r="BJ56" s="2">
        <v>1074.4000000000001</v>
      </c>
      <c r="BK56" s="2">
        <v>31.8</v>
      </c>
      <c r="BL56" s="2">
        <v>102.6</v>
      </c>
    </row>
    <row r="57" spans="1:64" x14ac:dyDescent="0.2">
      <c r="A57" s="2" t="s">
        <v>513</v>
      </c>
      <c r="B57" s="2">
        <v>306</v>
      </c>
      <c r="C57" s="2">
        <v>67856</v>
      </c>
      <c r="D57" s="2">
        <v>1.31</v>
      </c>
      <c r="E57" s="2">
        <v>17.672899999999998</v>
      </c>
      <c r="F57" s="2">
        <v>5.6</v>
      </c>
      <c r="G57" s="2">
        <v>0.4098</v>
      </c>
      <c r="H57" s="2">
        <v>6.4</v>
      </c>
      <c r="I57" s="2">
        <v>5.2549999999999999E-2</v>
      </c>
      <c r="J57" s="2">
        <v>3.2</v>
      </c>
      <c r="K57" s="2">
        <v>0.495</v>
      </c>
      <c r="L57" s="2">
        <v>330.2</v>
      </c>
      <c r="M57" s="2">
        <v>10.3</v>
      </c>
      <c r="N57" s="2">
        <v>348.7</v>
      </c>
      <c r="O57" s="2">
        <v>19</v>
      </c>
      <c r="P57" s="2">
        <v>474.4</v>
      </c>
      <c r="Q57" s="2">
        <v>123.7</v>
      </c>
      <c r="R57" s="2">
        <v>330.2</v>
      </c>
      <c r="S57" s="2">
        <v>10.3</v>
      </c>
      <c r="T57" s="2">
        <v>69.599999999999994</v>
      </c>
      <c r="AS57" s="2" t="s">
        <v>387</v>
      </c>
      <c r="AT57" s="2">
        <v>697</v>
      </c>
      <c r="AU57" s="2">
        <v>27319</v>
      </c>
      <c r="AV57" s="2">
        <v>6.39</v>
      </c>
      <c r="AW57" s="2">
        <v>17.130600000000001</v>
      </c>
      <c r="AX57" s="2">
        <v>1.8</v>
      </c>
      <c r="AY57" s="2">
        <v>0.72621000000000002</v>
      </c>
      <c r="AZ57" s="2">
        <v>2.8</v>
      </c>
      <c r="BA57" s="2">
        <v>9.0267E-2</v>
      </c>
      <c r="BB57" s="2">
        <v>2.2000000000000002</v>
      </c>
      <c r="BC57" s="2">
        <v>0.77</v>
      </c>
      <c r="BD57" s="2">
        <v>557.1</v>
      </c>
      <c r="BE57" s="2">
        <v>11.6</v>
      </c>
      <c r="BF57" s="2">
        <v>554.29999999999995</v>
      </c>
      <c r="BG57" s="2">
        <v>12</v>
      </c>
      <c r="BH57" s="2">
        <v>542.9</v>
      </c>
      <c r="BI57" s="2">
        <v>39.299999999999997</v>
      </c>
      <c r="BJ57" s="2">
        <v>557.1</v>
      </c>
      <c r="BK57" s="2">
        <v>11.6</v>
      </c>
      <c r="BL57" s="2">
        <v>102.6</v>
      </c>
    </row>
    <row r="58" spans="1:64" x14ac:dyDescent="0.2">
      <c r="A58" s="2" t="s">
        <v>512</v>
      </c>
      <c r="B58" s="2">
        <v>152</v>
      </c>
      <c r="C58" s="2">
        <v>14225</v>
      </c>
      <c r="D58" s="2">
        <v>1.46</v>
      </c>
      <c r="E58" s="2">
        <v>19.1389</v>
      </c>
      <c r="F58" s="2">
        <v>6.1</v>
      </c>
      <c r="G58" s="2">
        <v>0.37137999999999999</v>
      </c>
      <c r="H58" s="2">
        <v>7.3</v>
      </c>
      <c r="I58" s="2">
        <v>5.1574000000000002E-2</v>
      </c>
      <c r="J58" s="2">
        <v>4</v>
      </c>
      <c r="K58" s="2">
        <v>0.54800000000000004</v>
      </c>
      <c r="L58" s="2">
        <v>324.2</v>
      </c>
      <c r="M58" s="2">
        <v>12.7</v>
      </c>
      <c r="N58" s="2">
        <v>320.7</v>
      </c>
      <c r="O58" s="2">
        <v>20.100000000000001</v>
      </c>
      <c r="P58" s="2">
        <v>295.3</v>
      </c>
      <c r="Q58" s="2">
        <v>139.5</v>
      </c>
      <c r="R58" s="2">
        <v>324.2</v>
      </c>
      <c r="S58" s="2">
        <v>12.7</v>
      </c>
      <c r="T58" s="2">
        <v>109.8</v>
      </c>
      <c r="AS58" s="2" t="s">
        <v>389</v>
      </c>
      <c r="AT58" s="2">
        <v>696</v>
      </c>
      <c r="AU58" s="2">
        <v>99822</v>
      </c>
      <c r="AV58" s="2">
        <v>6.49</v>
      </c>
      <c r="AW58" s="2">
        <v>16.876300000000001</v>
      </c>
      <c r="AX58" s="2">
        <v>2</v>
      </c>
      <c r="AY58" s="2">
        <v>0.72823000000000004</v>
      </c>
      <c r="AZ58" s="2">
        <v>3.6</v>
      </c>
      <c r="BA58" s="2">
        <v>8.9175000000000004E-2</v>
      </c>
      <c r="BB58" s="2">
        <v>3</v>
      </c>
      <c r="BC58" s="2">
        <v>0.82299999999999995</v>
      </c>
      <c r="BD58" s="2">
        <v>550.70000000000005</v>
      </c>
      <c r="BE58" s="2">
        <v>15.6</v>
      </c>
      <c r="BF58" s="2">
        <v>555.5</v>
      </c>
      <c r="BG58" s="2">
        <v>15.4</v>
      </c>
      <c r="BH58" s="2">
        <v>575.5</v>
      </c>
      <c r="BI58" s="2">
        <v>44.4</v>
      </c>
      <c r="BJ58" s="2">
        <v>550.70000000000005</v>
      </c>
      <c r="BK58" s="2">
        <v>15.6</v>
      </c>
      <c r="BL58" s="2">
        <v>95.7</v>
      </c>
    </row>
    <row r="59" spans="1:64" x14ac:dyDescent="0.2">
      <c r="A59" s="2" t="s">
        <v>511</v>
      </c>
      <c r="B59" s="2">
        <v>327</v>
      </c>
      <c r="C59" s="2">
        <v>33748</v>
      </c>
      <c r="D59" s="2">
        <v>1.48</v>
      </c>
      <c r="E59" s="2">
        <v>18.607199999999999</v>
      </c>
      <c r="F59" s="2">
        <v>2.9</v>
      </c>
      <c r="G59" s="2">
        <v>0.38962000000000002</v>
      </c>
      <c r="H59" s="2">
        <v>4.0999999999999996</v>
      </c>
      <c r="I59" s="2">
        <v>5.2603999999999998E-2</v>
      </c>
      <c r="J59" s="2">
        <v>3</v>
      </c>
      <c r="K59" s="2">
        <v>0.71899999999999997</v>
      </c>
      <c r="L59" s="2">
        <v>330.5</v>
      </c>
      <c r="M59" s="2">
        <v>9.6</v>
      </c>
      <c r="N59" s="2">
        <v>334.1</v>
      </c>
      <c r="O59" s="2">
        <v>11.8</v>
      </c>
      <c r="P59" s="2">
        <v>359.2</v>
      </c>
      <c r="Q59" s="2">
        <v>64.900000000000006</v>
      </c>
      <c r="R59" s="2">
        <v>330.5</v>
      </c>
      <c r="S59" s="2">
        <v>9.6</v>
      </c>
      <c r="T59" s="2">
        <v>92</v>
      </c>
      <c r="AS59" s="2" t="s">
        <v>401</v>
      </c>
      <c r="AT59" s="2">
        <v>235</v>
      </c>
      <c r="AU59" s="2">
        <v>69625</v>
      </c>
      <c r="AV59" s="2">
        <v>1.74</v>
      </c>
      <c r="AW59" s="2">
        <v>18.1952</v>
      </c>
      <c r="AX59" s="2">
        <v>3.4</v>
      </c>
      <c r="AY59" s="2">
        <v>0.49954999999999999</v>
      </c>
      <c r="AZ59" s="2">
        <v>4.7</v>
      </c>
      <c r="BA59" s="2">
        <v>6.5952999999999998E-2</v>
      </c>
      <c r="BB59" s="2">
        <v>3.3</v>
      </c>
      <c r="BC59" s="2">
        <v>0.70399999999999996</v>
      </c>
      <c r="BD59" s="2">
        <v>411.7</v>
      </c>
      <c r="BE59" s="2">
        <v>13.3</v>
      </c>
      <c r="BF59" s="2">
        <v>411.4</v>
      </c>
      <c r="BG59" s="2">
        <v>16</v>
      </c>
      <c r="BH59" s="2">
        <v>409.5</v>
      </c>
      <c r="BI59" s="2">
        <v>75</v>
      </c>
      <c r="BJ59" s="2">
        <v>411.7</v>
      </c>
      <c r="BK59" s="2">
        <v>13.3</v>
      </c>
      <c r="BL59" s="2">
        <v>100.5</v>
      </c>
    </row>
    <row r="60" spans="1:64" x14ac:dyDescent="0.2">
      <c r="A60" s="2" t="s">
        <v>510</v>
      </c>
      <c r="B60" s="2">
        <v>104</v>
      </c>
      <c r="C60" s="2">
        <v>25946</v>
      </c>
      <c r="D60" s="2">
        <v>2.4</v>
      </c>
      <c r="E60" s="2">
        <v>17.9407</v>
      </c>
      <c r="F60" s="2">
        <v>6.9</v>
      </c>
      <c r="G60" s="2">
        <v>0.40928999999999999</v>
      </c>
      <c r="H60" s="2">
        <v>7.6</v>
      </c>
      <c r="I60" s="2">
        <v>5.3280000000000001E-2</v>
      </c>
      <c r="J60" s="2">
        <v>3.3</v>
      </c>
      <c r="K60" s="2">
        <v>0.43</v>
      </c>
      <c r="L60" s="2">
        <v>334.6</v>
      </c>
      <c r="M60" s="2">
        <v>10.7</v>
      </c>
      <c r="N60" s="2">
        <v>348.4</v>
      </c>
      <c r="O60" s="2">
        <v>22.6</v>
      </c>
      <c r="P60" s="2">
        <v>441</v>
      </c>
      <c r="Q60" s="2">
        <v>153.6</v>
      </c>
      <c r="R60" s="2">
        <v>334.6</v>
      </c>
      <c r="S60" s="2">
        <v>10.7</v>
      </c>
      <c r="T60" s="2">
        <v>75.900000000000006</v>
      </c>
      <c r="AS60" s="2" t="s">
        <v>382</v>
      </c>
      <c r="AT60" s="2">
        <v>220</v>
      </c>
      <c r="AU60" s="2">
        <v>98873</v>
      </c>
      <c r="AV60" s="2">
        <v>1.68</v>
      </c>
      <c r="AW60" s="2">
        <v>13.1424</v>
      </c>
      <c r="AX60" s="2">
        <v>1.9</v>
      </c>
      <c r="AY60" s="2">
        <v>1.95692</v>
      </c>
      <c r="AZ60" s="2">
        <v>3.1</v>
      </c>
      <c r="BA60" s="2">
        <v>0.186614</v>
      </c>
      <c r="BB60" s="2">
        <v>2.5</v>
      </c>
      <c r="BC60" s="2">
        <v>0.79500000000000004</v>
      </c>
      <c r="BD60" s="2">
        <v>1103</v>
      </c>
      <c r="BE60" s="2">
        <v>25.3</v>
      </c>
      <c r="BF60" s="2">
        <v>1100.8</v>
      </c>
      <c r="BG60" s="2">
        <v>21.1</v>
      </c>
      <c r="BH60" s="2">
        <v>1096.5</v>
      </c>
      <c r="BI60" s="2">
        <v>38.200000000000003</v>
      </c>
      <c r="BJ60" s="2">
        <v>1096.5</v>
      </c>
      <c r="BK60" s="2">
        <v>38.200000000000003</v>
      </c>
      <c r="BL60" s="2">
        <v>100.6</v>
      </c>
    </row>
    <row r="61" spans="1:64" x14ac:dyDescent="0.2">
      <c r="A61" s="2" t="s">
        <v>509</v>
      </c>
      <c r="B61" s="2">
        <v>200</v>
      </c>
      <c r="C61" s="2">
        <v>21845</v>
      </c>
      <c r="D61" s="2">
        <v>1.72</v>
      </c>
      <c r="E61" s="2">
        <v>18.796099999999999</v>
      </c>
      <c r="F61" s="2">
        <v>4.4000000000000004</v>
      </c>
      <c r="G61" s="2">
        <v>0.3916</v>
      </c>
      <c r="H61" s="2">
        <v>5.6</v>
      </c>
      <c r="I61" s="2">
        <v>5.3407999999999997E-2</v>
      </c>
      <c r="J61" s="2">
        <v>3.4</v>
      </c>
      <c r="K61" s="2">
        <v>0.61399999999999999</v>
      </c>
      <c r="L61" s="2">
        <v>335.4</v>
      </c>
      <c r="M61" s="2">
        <v>11.2</v>
      </c>
      <c r="N61" s="2">
        <v>335.5</v>
      </c>
      <c r="O61" s="2">
        <v>15.9</v>
      </c>
      <c r="P61" s="2">
        <v>336.4</v>
      </c>
      <c r="Q61" s="2">
        <v>99.5</v>
      </c>
      <c r="R61" s="2">
        <v>335.4</v>
      </c>
      <c r="S61" s="2">
        <v>11.2</v>
      </c>
      <c r="T61" s="2">
        <v>99.7</v>
      </c>
      <c r="AS61" s="2" t="s">
        <v>393</v>
      </c>
      <c r="AT61" s="2">
        <v>655</v>
      </c>
      <c r="AU61" s="2">
        <v>140800</v>
      </c>
      <c r="AV61" s="2">
        <v>6.18</v>
      </c>
      <c r="AW61" s="2">
        <v>16.8856</v>
      </c>
      <c r="AX61" s="2">
        <v>2.4</v>
      </c>
      <c r="AY61" s="2">
        <v>0.73341000000000001</v>
      </c>
      <c r="AZ61" s="2">
        <v>3.5</v>
      </c>
      <c r="BA61" s="2">
        <v>8.9857999999999993E-2</v>
      </c>
      <c r="BB61" s="2">
        <v>2.6</v>
      </c>
      <c r="BC61" s="2">
        <v>0.73099999999999998</v>
      </c>
      <c r="BD61" s="2">
        <v>554.70000000000005</v>
      </c>
      <c r="BE61" s="2">
        <v>13.6</v>
      </c>
      <c r="BF61" s="2">
        <v>558.6</v>
      </c>
      <c r="BG61" s="2">
        <v>15</v>
      </c>
      <c r="BH61" s="2">
        <v>574.29999999999995</v>
      </c>
      <c r="BI61" s="2">
        <v>51.8</v>
      </c>
      <c r="BJ61" s="2">
        <v>554.70000000000005</v>
      </c>
      <c r="BK61" s="2">
        <v>13.6</v>
      </c>
      <c r="BL61" s="2">
        <v>96.6</v>
      </c>
    </row>
    <row r="62" spans="1:64" x14ac:dyDescent="0.2">
      <c r="A62" s="2" t="s">
        <v>508</v>
      </c>
      <c r="B62" s="2">
        <v>207</v>
      </c>
      <c r="C62" s="2">
        <v>14004</v>
      </c>
      <c r="D62" s="2">
        <v>1.3</v>
      </c>
      <c r="E62" s="2">
        <v>19.028400000000001</v>
      </c>
      <c r="F62" s="2">
        <v>4.2</v>
      </c>
      <c r="G62" s="2">
        <v>0.38496000000000002</v>
      </c>
      <c r="H62" s="2">
        <v>5.5</v>
      </c>
      <c r="I62" s="2">
        <v>5.3150999999999997E-2</v>
      </c>
      <c r="J62" s="2">
        <v>3.6</v>
      </c>
      <c r="K62" s="2">
        <v>0.65200000000000002</v>
      </c>
      <c r="L62" s="2">
        <v>333.8</v>
      </c>
      <c r="M62" s="2">
        <v>11.8</v>
      </c>
      <c r="N62" s="2">
        <v>330.7</v>
      </c>
      <c r="O62" s="2">
        <v>15.7</v>
      </c>
      <c r="P62" s="2">
        <v>308.5</v>
      </c>
      <c r="Q62" s="2">
        <v>95.7</v>
      </c>
      <c r="R62" s="2">
        <v>333.8</v>
      </c>
      <c r="S62" s="2">
        <v>11.8</v>
      </c>
      <c r="T62" s="2">
        <v>108.2</v>
      </c>
      <c r="AS62" s="2" t="s">
        <v>384</v>
      </c>
      <c r="AT62" s="2">
        <v>320</v>
      </c>
      <c r="AU62" s="2">
        <v>3057368</v>
      </c>
      <c r="AV62" s="2">
        <v>1.67</v>
      </c>
      <c r="AW62" s="2">
        <v>13.0722</v>
      </c>
      <c r="AX62" s="2">
        <v>1.7</v>
      </c>
      <c r="AY62" s="2">
        <v>1.99895</v>
      </c>
      <c r="AZ62" s="2">
        <v>3</v>
      </c>
      <c r="BA62" s="2">
        <v>0.18960199999999999</v>
      </c>
      <c r="BB62" s="2">
        <v>2.5</v>
      </c>
      <c r="BC62" s="2">
        <v>0.83699999999999997</v>
      </c>
      <c r="BD62" s="2">
        <v>1119.2</v>
      </c>
      <c r="BE62" s="2">
        <v>26</v>
      </c>
      <c r="BF62" s="2">
        <v>1115.2</v>
      </c>
      <c r="BG62" s="2">
        <v>20.399999999999999</v>
      </c>
      <c r="BH62" s="2">
        <v>1107.2</v>
      </c>
      <c r="BI62" s="2">
        <v>33.1</v>
      </c>
      <c r="BJ62" s="2">
        <v>1107.2</v>
      </c>
      <c r="BK62" s="2">
        <v>33.1</v>
      </c>
      <c r="BL62" s="2">
        <v>101.1</v>
      </c>
    </row>
    <row r="63" spans="1:64" x14ac:dyDescent="0.2">
      <c r="A63" s="2" t="s">
        <v>507</v>
      </c>
      <c r="B63" s="2">
        <v>152</v>
      </c>
      <c r="C63" s="2">
        <v>61932</v>
      </c>
      <c r="D63" s="2">
        <v>1.91</v>
      </c>
      <c r="E63" s="2">
        <v>18.8599</v>
      </c>
      <c r="F63" s="2">
        <v>4.3</v>
      </c>
      <c r="G63" s="2">
        <v>0.38962999999999998</v>
      </c>
      <c r="H63" s="2">
        <v>5.4</v>
      </c>
      <c r="I63" s="2">
        <v>5.3318999999999998E-2</v>
      </c>
      <c r="J63" s="2">
        <v>3.3</v>
      </c>
      <c r="K63" s="2">
        <v>0.60199999999999998</v>
      </c>
      <c r="L63" s="2">
        <v>334.9</v>
      </c>
      <c r="M63" s="2">
        <v>10.6</v>
      </c>
      <c r="N63" s="2">
        <v>334.1</v>
      </c>
      <c r="O63" s="2">
        <v>15.4</v>
      </c>
      <c r="P63" s="2">
        <v>328.7</v>
      </c>
      <c r="Q63" s="2">
        <v>98.1</v>
      </c>
      <c r="R63" s="2">
        <v>334.9</v>
      </c>
      <c r="S63" s="2">
        <v>10.6</v>
      </c>
      <c r="T63" s="2">
        <v>101.9</v>
      </c>
      <c r="AS63" s="2" t="s">
        <v>394</v>
      </c>
      <c r="AT63" s="2">
        <v>737</v>
      </c>
      <c r="AU63" s="2">
        <v>405287</v>
      </c>
      <c r="AV63" s="2">
        <v>6.49</v>
      </c>
      <c r="AW63" s="2">
        <v>16.9057</v>
      </c>
      <c r="AX63" s="2">
        <v>2.2999999999999998</v>
      </c>
      <c r="AY63" s="2">
        <v>0.73736000000000002</v>
      </c>
      <c r="AZ63" s="2">
        <v>3.6</v>
      </c>
      <c r="BA63" s="2">
        <v>9.0450000000000003E-2</v>
      </c>
      <c r="BB63" s="2">
        <v>2.7</v>
      </c>
      <c r="BC63" s="2">
        <v>0.76</v>
      </c>
      <c r="BD63" s="2">
        <v>558.20000000000005</v>
      </c>
      <c r="BE63" s="2">
        <v>14.6</v>
      </c>
      <c r="BF63" s="2">
        <v>560.9</v>
      </c>
      <c r="BG63" s="2">
        <v>15.5</v>
      </c>
      <c r="BH63" s="2">
        <v>571.70000000000005</v>
      </c>
      <c r="BI63" s="2">
        <v>51</v>
      </c>
      <c r="BJ63" s="2">
        <v>558.20000000000005</v>
      </c>
      <c r="BK63" s="2">
        <v>14.6</v>
      </c>
      <c r="BL63" s="2">
        <v>97.6</v>
      </c>
    </row>
    <row r="64" spans="1:64" x14ac:dyDescent="0.2">
      <c r="A64" s="2" t="s">
        <v>506</v>
      </c>
      <c r="B64" s="2">
        <v>342</v>
      </c>
      <c r="C64" s="2">
        <v>198559</v>
      </c>
      <c r="D64" s="2">
        <v>1.64</v>
      </c>
      <c r="E64" s="2">
        <v>18.953499999999998</v>
      </c>
      <c r="F64" s="2">
        <v>2.7</v>
      </c>
      <c r="G64" s="2">
        <v>0.39301000000000003</v>
      </c>
      <c r="H64" s="2">
        <v>3.5</v>
      </c>
      <c r="I64" s="2">
        <v>5.4049E-2</v>
      </c>
      <c r="J64" s="2">
        <v>2.2000000000000002</v>
      </c>
      <c r="K64" s="2">
        <v>0.64200000000000002</v>
      </c>
      <c r="L64" s="2">
        <v>339.3</v>
      </c>
      <c r="M64" s="2">
        <v>7.4</v>
      </c>
      <c r="N64" s="2">
        <v>336.6</v>
      </c>
      <c r="O64" s="2">
        <v>10</v>
      </c>
      <c r="P64" s="2">
        <v>317.5</v>
      </c>
      <c r="Q64" s="2">
        <v>61</v>
      </c>
      <c r="R64" s="2">
        <v>339.3</v>
      </c>
      <c r="S64" s="2">
        <v>7.4</v>
      </c>
      <c r="T64" s="2">
        <v>106.9</v>
      </c>
      <c r="AS64" s="2" t="s">
        <v>386</v>
      </c>
      <c r="AT64" s="2">
        <v>317</v>
      </c>
      <c r="AU64" s="2">
        <v>93964</v>
      </c>
      <c r="AV64" s="2">
        <v>2.42</v>
      </c>
      <c r="AW64" s="2">
        <v>13.251099999999999</v>
      </c>
      <c r="AX64" s="2">
        <v>1.8</v>
      </c>
      <c r="AY64" s="2">
        <v>1.9291199999999999</v>
      </c>
      <c r="AZ64" s="2">
        <v>2.9</v>
      </c>
      <c r="BA64" s="2">
        <v>0.18548300000000001</v>
      </c>
      <c r="BB64" s="2">
        <v>2.2000000000000002</v>
      </c>
      <c r="BC64" s="2">
        <v>0.77500000000000002</v>
      </c>
      <c r="BD64" s="2">
        <v>1096.9000000000001</v>
      </c>
      <c r="BE64" s="2">
        <v>22.7</v>
      </c>
      <c r="BF64" s="2">
        <v>1091.2</v>
      </c>
      <c r="BG64" s="2">
        <v>19.399999999999999</v>
      </c>
      <c r="BH64" s="2">
        <v>1080</v>
      </c>
      <c r="BI64" s="2">
        <v>36.700000000000003</v>
      </c>
      <c r="BJ64" s="2">
        <v>1080</v>
      </c>
      <c r="BK64" s="2">
        <v>36.700000000000003</v>
      </c>
      <c r="BL64" s="2">
        <v>101.6</v>
      </c>
    </row>
    <row r="65" spans="1:64" x14ac:dyDescent="0.2">
      <c r="A65" s="2" t="s">
        <v>505</v>
      </c>
      <c r="B65" s="2">
        <v>443</v>
      </c>
      <c r="C65" s="2">
        <v>20066</v>
      </c>
      <c r="D65" s="2">
        <v>1.1000000000000001</v>
      </c>
      <c r="E65" s="2">
        <v>18.895499999999998</v>
      </c>
      <c r="F65" s="2">
        <v>3.2</v>
      </c>
      <c r="G65" s="2">
        <v>0.38821</v>
      </c>
      <c r="H65" s="2">
        <v>4.4000000000000004</v>
      </c>
      <c r="I65" s="2">
        <v>5.3226000000000002E-2</v>
      </c>
      <c r="J65" s="2">
        <v>3.1</v>
      </c>
      <c r="K65" s="2">
        <v>0.69199999999999995</v>
      </c>
      <c r="L65" s="2">
        <v>334.3</v>
      </c>
      <c r="M65" s="2">
        <v>10</v>
      </c>
      <c r="N65" s="2">
        <v>333.1</v>
      </c>
      <c r="O65" s="2">
        <v>12.6</v>
      </c>
      <c r="P65" s="2">
        <v>324.5</v>
      </c>
      <c r="Q65" s="2">
        <v>72.900000000000006</v>
      </c>
      <c r="R65" s="2">
        <v>334.3</v>
      </c>
      <c r="S65" s="2">
        <v>10</v>
      </c>
      <c r="T65" s="2">
        <v>103</v>
      </c>
      <c r="AS65" s="2" t="s">
        <v>396</v>
      </c>
      <c r="AT65" s="2">
        <v>702</v>
      </c>
      <c r="AU65" s="2">
        <v>55313</v>
      </c>
      <c r="AV65" s="2">
        <v>6.43</v>
      </c>
      <c r="AW65" s="2">
        <v>17.0655</v>
      </c>
      <c r="AX65" s="2">
        <v>2</v>
      </c>
      <c r="AY65" s="2">
        <v>0.71838999999999997</v>
      </c>
      <c r="AZ65" s="2">
        <v>3.6</v>
      </c>
      <c r="BA65" s="2">
        <v>8.8955999999999993E-2</v>
      </c>
      <c r="BB65" s="2">
        <v>3</v>
      </c>
      <c r="BC65" s="2">
        <v>0.83399999999999996</v>
      </c>
      <c r="BD65" s="2">
        <v>549.4</v>
      </c>
      <c r="BE65" s="2">
        <v>16</v>
      </c>
      <c r="BF65" s="2">
        <v>549.70000000000005</v>
      </c>
      <c r="BG65" s="2">
        <v>15.4</v>
      </c>
      <c r="BH65" s="2">
        <v>551.20000000000005</v>
      </c>
      <c r="BI65" s="2">
        <v>43.8</v>
      </c>
      <c r="BJ65" s="2">
        <v>549.4</v>
      </c>
      <c r="BK65" s="2">
        <v>16</v>
      </c>
      <c r="BL65" s="2">
        <v>99.7</v>
      </c>
    </row>
    <row r="66" spans="1:64" x14ac:dyDescent="0.2">
      <c r="A66" s="2" t="s">
        <v>504</v>
      </c>
      <c r="B66" s="2">
        <v>292</v>
      </c>
      <c r="C66" s="2">
        <v>144911</v>
      </c>
      <c r="D66" s="2">
        <v>1.36</v>
      </c>
      <c r="E66" s="2">
        <v>19.107299999999999</v>
      </c>
      <c r="F66" s="2">
        <v>3.8</v>
      </c>
      <c r="G66" s="2">
        <v>0.38294</v>
      </c>
      <c r="H66" s="2">
        <v>4.5999999999999996</v>
      </c>
      <c r="I66" s="2">
        <v>5.3090999999999999E-2</v>
      </c>
      <c r="J66" s="2">
        <v>2.5</v>
      </c>
      <c r="K66" s="2">
        <v>0.55300000000000005</v>
      </c>
      <c r="L66" s="2">
        <v>333.5</v>
      </c>
      <c r="M66" s="2">
        <v>8.1999999999999993</v>
      </c>
      <c r="N66" s="2">
        <v>329.2</v>
      </c>
      <c r="O66" s="2">
        <v>12.9</v>
      </c>
      <c r="P66" s="2">
        <v>299.10000000000002</v>
      </c>
      <c r="Q66" s="2">
        <v>87.2</v>
      </c>
      <c r="R66" s="2">
        <v>333.5</v>
      </c>
      <c r="S66" s="2">
        <v>8.1999999999999993</v>
      </c>
      <c r="T66" s="2">
        <v>111.5</v>
      </c>
      <c r="AS66" s="2" t="s">
        <v>411</v>
      </c>
      <c r="AT66" s="2">
        <v>180</v>
      </c>
      <c r="AU66" s="2">
        <v>16550</v>
      </c>
      <c r="AV66" s="2">
        <v>1.5</v>
      </c>
      <c r="AW66" s="2">
        <v>18.558900000000001</v>
      </c>
      <c r="AX66" s="2">
        <v>4</v>
      </c>
      <c r="AY66" s="2">
        <v>0.49857000000000001</v>
      </c>
      <c r="AZ66" s="2">
        <v>5.3</v>
      </c>
      <c r="BA66" s="2">
        <v>6.7139000000000004E-2</v>
      </c>
      <c r="BB66" s="2">
        <v>3.5</v>
      </c>
      <c r="BC66" s="2">
        <v>0.66100000000000003</v>
      </c>
      <c r="BD66" s="2">
        <v>418.9</v>
      </c>
      <c r="BE66" s="2">
        <v>14.2</v>
      </c>
      <c r="BF66" s="2">
        <v>410.7</v>
      </c>
      <c r="BG66" s="2">
        <v>17.899999999999999</v>
      </c>
      <c r="BH66" s="2">
        <v>365.1</v>
      </c>
      <c r="BI66" s="2">
        <v>89.7</v>
      </c>
      <c r="BJ66" s="2">
        <v>418.9</v>
      </c>
      <c r="BK66" s="2">
        <v>14.2</v>
      </c>
      <c r="BL66" s="2">
        <v>114.7</v>
      </c>
    </row>
    <row r="67" spans="1:64" x14ac:dyDescent="0.2">
      <c r="A67" s="2" t="s">
        <v>83</v>
      </c>
      <c r="B67" s="2">
        <v>639</v>
      </c>
      <c r="C67" s="2">
        <v>119686</v>
      </c>
      <c r="D67" s="2">
        <v>11.74</v>
      </c>
      <c r="E67" s="2">
        <v>18.651199999999999</v>
      </c>
      <c r="F67" s="2">
        <v>2.6</v>
      </c>
      <c r="G67" s="2">
        <v>0.3992</v>
      </c>
      <c r="H67" s="2">
        <v>3.8</v>
      </c>
      <c r="I67" s="2">
        <v>5.4024000000000003E-2</v>
      </c>
      <c r="J67" s="2">
        <v>2.8</v>
      </c>
      <c r="K67" s="2">
        <v>0.73899999999999999</v>
      </c>
      <c r="L67" s="2">
        <v>339.2</v>
      </c>
      <c r="M67" s="2">
        <v>9.3000000000000007</v>
      </c>
      <c r="N67" s="2">
        <v>341.1</v>
      </c>
      <c r="O67" s="2">
        <v>11.1</v>
      </c>
      <c r="P67" s="2">
        <v>353.9</v>
      </c>
      <c r="Q67" s="2">
        <v>58.1</v>
      </c>
      <c r="R67" s="2">
        <v>339.2</v>
      </c>
      <c r="S67" s="2">
        <v>9.3000000000000007</v>
      </c>
      <c r="T67" s="2">
        <v>95.8</v>
      </c>
      <c r="AS67" s="2" t="s">
        <v>388</v>
      </c>
      <c r="AT67" s="2">
        <v>180</v>
      </c>
      <c r="AU67" s="2">
        <v>64876</v>
      </c>
      <c r="AV67" s="2">
        <v>1.92</v>
      </c>
      <c r="AW67" s="2">
        <v>13.1486</v>
      </c>
      <c r="AX67" s="2">
        <v>2.2000000000000002</v>
      </c>
      <c r="AY67" s="2">
        <v>1.9453</v>
      </c>
      <c r="AZ67" s="2">
        <v>3.5</v>
      </c>
      <c r="BA67" s="2">
        <v>0.18559200000000001</v>
      </c>
      <c r="BB67" s="2">
        <v>2.8</v>
      </c>
      <c r="BC67" s="2">
        <v>0.78700000000000003</v>
      </c>
      <c r="BD67" s="2">
        <v>1097.5</v>
      </c>
      <c r="BE67" s="2">
        <v>27.9</v>
      </c>
      <c r="BF67" s="2">
        <v>1096.8</v>
      </c>
      <c r="BG67" s="2">
        <v>23.6</v>
      </c>
      <c r="BH67" s="2">
        <v>1095.5999999999999</v>
      </c>
      <c r="BI67" s="2">
        <v>43.4</v>
      </c>
      <c r="BJ67" s="2">
        <v>1095.5999999999999</v>
      </c>
      <c r="BK67" s="2">
        <v>43.4</v>
      </c>
      <c r="BL67" s="2">
        <v>100.2</v>
      </c>
    </row>
    <row r="68" spans="1:64" x14ac:dyDescent="0.2">
      <c r="A68" s="2" t="s">
        <v>503</v>
      </c>
      <c r="B68" s="2">
        <v>304</v>
      </c>
      <c r="C68" s="2">
        <v>9123</v>
      </c>
      <c r="D68" s="2">
        <v>1.65</v>
      </c>
      <c r="E68" s="2">
        <v>19.218399999999999</v>
      </c>
      <c r="F68" s="2">
        <v>3.5</v>
      </c>
      <c r="G68" s="2">
        <v>0.38018999999999997</v>
      </c>
      <c r="H68" s="2">
        <v>4.4000000000000004</v>
      </c>
      <c r="I68" s="2">
        <v>5.3016000000000001E-2</v>
      </c>
      <c r="J68" s="2">
        <v>2.6</v>
      </c>
      <c r="K68" s="2">
        <v>0.59599999999999997</v>
      </c>
      <c r="L68" s="2">
        <v>333</v>
      </c>
      <c r="M68" s="2">
        <v>8.5</v>
      </c>
      <c r="N68" s="2">
        <v>327.2</v>
      </c>
      <c r="O68" s="2">
        <v>12.3</v>
      </c>
      <c r="P68" s="2">
        <v>285.8</v>
      </c>
      <c r="Q68" s="2">
        <v>81</v>
      </c>
      <c r="R68" s="2">
        <v>333</v>
      </c>
      <c r="S68" s="2">
        <v>8.5</v>
      </c>
      <c r="T68" s="2">
        <v>116.5</v>
      </c>
      <c r="AS68" s="2" t="s">
        <v>421</v>
      </c>
      <c r="AT68" s="2">
        <v>156</v>
      </c>
      <c r="AU68" s="2">
        <v>7596</v>
      </c>
      <c r="AV68" s="2">
        <v>1.49</v>
      </c>
      <c r="AW68" s="2">
        <v>18.642499999999998</v>
      </c>
      <c r="AX68" s="2">
        <v>3.9</v>
      </c>
      <c r="AY68" s="2">
        <v>0.50109999999999999</v>
      </c>
      <c r="AZ68" s="2">
        <v>5</v>
      </c>
      <c r="BA68" s="2">
        <v>6.7783999999999997E-2</v>
      </c>
      <c r="BB68" s="2">
        <v>3</v>
      </c>
      <c r="BC68" s="2">
        <v>0.61299999999999999</v>
      </c>
      <c r="BD68" s="2">
        <v>422.8</v>
      </c>
      <c r="BE68" s="2">
        <v>12.4</v>
      </c>
      <c r="BF68" s="2">
        <v>412.4</v>
      </c>
      <c r="BG68" s="2">
        <v>16.8</v>
      </c>
      <c r="BH68" s="2">
        <v>355</v>
      </c>
      <c r="BI68" s="2">
        <v>88.4</v>
      </c>
      <c r="BJ68" s="2">
        <v>422.8</v>
      </c>
      <c r="BK68" s="2">
        <v>12.4</v>
      </c>
      <c r="BL68" s="2">
        <v>119.1</v>
      </c>
    </row>
    <row r="69" spans="1:64" x14ac:dyDescent="0.2">
      <c r="A69" s="2" t="s">
        <v>502</v>
      </c>
      <c r="B69" s="2">
        <v>247</v>
      </c>
      <c r="C69" s="2">
        <v>41957</v>
      </c>
      <c r="D69" s="2">
        <v>1.7</v>
      </c>
      <c r="E69" s="2">
        <v>18.809799999999999</v>
      </c>
      <c r="F69" s="2">
        <v>3.3</v>
      </c>
      <c r="G69" s="2">
        <v>0.38568999999999998</v>
      </c>
      <c r="H69" s="2">
        <v>4.8</v>
      </c>
      <c r="I69" s="2">
        <v>5.2639999999999999E-2</v>
      </c>
      <c r="J69" s="2">
        <v>3.4</v>
      </c>
      <c r="K69" s="2">
        <v>0.71599999999999997</v>
      </c>
      <c r="L69" s="2">
        <v>330.7</v>
      </c>
      <c r="M69" s="2">
        <v>11</v>
      </c>
      <c r="N69" s="2">
        <v>331.2</v>
      </c>
      <c r="O69" s="2">
        <v>13.4</v>
      </c>
      <c r="P69" s="2">
        <v>334.8</v>
      </c>
      <c r="Q69" s="2">
        <v>75.2</v>
      </c>
      <c r="R69" s="2">
        <v>330.7</v>
      </c>
      <c r="S69" s="2">
        <v>11</v>
      </c>
      <c r="T69" s="2">
        <v>98.8</v>
      </c>
      <c r="AS69" s="2" t="s">
        <v>423</v>
      </c>
      <c r="AT69" s="2">
        <v>167</v>
      </c>
      <c r="AU69" s="2">
        <v>158603</v>
      </c>
      <c r="AV69" s="2">
        <v>1.44</v>
      </c>
      <c r="AW69" s="2">
        <v>18.124300000000002</v>
      </c>
      <c r="AX69" s="2">
        <v>3.8</v>
      </c>
      <c r="AY69" s="2">
        <v>0.51263000000000003</v>
      </c>
      <c r="AZ69" s="2">
        <v>5.7</v>
      </c>
      <c r="BA69" s="2">
        <v>6.7416000000000004E-2</v>
      </c>
      <c r="BB69" s="2">
        <v>4.2</v>
      </c>
      <c r="BC69" s="2">
        <v>0.746</v>
      </c>
      <c r="BD69" s="2">
        <v>420.6</v>
      </c>
      <c r="BE69" s="2">
        <v>17.2</v>
      </c>
      <c r="BF69" s="2">
        <v>420.2</v>
      </c>
      <c r="BG69" s="2">
        <v>19.5</v>
      </c>
      <c r="BH69" s="2">
        <v>418.3</v>
      </c>
      <c r="BI69" s="2">
        <v>84.3</v>
      </c>
      <c r="BJ69" s="2">
        <v>420.6</v>
      </c>
      <c r="BK69" s="2">
        <v>17.2</v>
      </c>
      <c r="BL69" s="2">
        <v>100.5</v>
      </c>
    </row>
    <row r="70" spans="1:64" x14ac:dyDescent="0.2">
      <c r="A70" s="2" t="s">
        <v>501</v>
      </c>
      <c r="B70" s="2">
        <v>528</v>
      </c>
      <c r="C70" s="2">
        <v>22189</v>
      </c>
      <c r="D70" s="2">
        <v>1.44</v>
      </c>
      <c r="E70" s="2">
        <v>19.064800000000002</v>
      </c>
      <c r="F70" s="2">
        <v>3.3</v>
      </c>
      <c r="G70" s="2">
        <v>0.38130999999999998</v>
      </c>
      <c r="H70" s="2">
        <v>4.0999999999999996</v>
      </c>
      <c r="I70" s="2">
        <v>5.2748000000000003E-2</v>
      </c>
      <c r="J70" s="2">
        <v>2.4</v>
      </c>
      <c r="K70" s="2">
        <v>0.58599999999999997</v>
      </c>
      <c r="L70" s="2">
        <v>331.4</v>
      </c>
      <c r="M70" s="2">
        <v>7.7</v>
      </c>
      <c r="N70" s="2">
        <v>328</v>
      </c>
      <c r="O70" s="2">
        <v>11.4</v>
      </c>
      <c r="P70" s="2">
        <v>304.10000000000002</v>
      </c>
      <c r="Q70" s="2">
        <v>75.099999999999994</v>
      </c>
      <c r="R70" s="2">
        <v>331.4</v>
      </c>
      <c r="S70" s="2">
        <v>7.7</v>
      </c>
      <c r="T70" s="2">
        <v>109</v>
      </c>
      <c r="AS70" s="2" t="s">
        <v>398</v>
      </c>
      <c r="AT70" s="2">
        <v>717</v>
      </c>
      <c r="AU70" s="2">
        <v>110633</v>
      </c>
      <c r="AV70" s="2">
        <v>6.25</v>
      </c>
      <c r="AW70" s="2">
        <v>17.0992</v>
      </c>
      <c r="AX70" s="2">
        <v>1.9</v>
      </c>
      <c r="AY70" s="2">
        <v>0.73253000000000001</v>
      </c>
      <c r="AZ70" s="2">
        <v>2.4</v>
      </c>
      <c r="BA70" s="2">
        <v>9.0885999999999995E-2</v>
      </c>
      <c r="BB70" s="2">
        <v>1.5</v>
      </c>
      <c r="BC70" s="2">
        <v>0.60699999999999998</v>
      </c>
      <c r="BD70" s="2">
        <v>560.79999999999995</v>
      </c>
      <c r="BE70" s="2">
        <v>7.9</v>
      </c>
      <c r="BF70" s="2">
        <v>558</v>
      </c>
      <c r="BG70" s="2">
        <v>10.4</v>
      </c>
      <c r="BH70" s="2">
        <v>546.9</v>
      </c>
      <c r="BI70" s="2">
        <v>42.2</v>
      </c>
      <c r="BJ70" s="2">
        <v>560.79999999999995</v>
      </c>
      <c r="BK70" s="2">
        <v>7.9</v>
      </c>
      <c r="BL70" s="2">
        <v>102.5</v>
      </c>
    </row>
    <row r="71" spans="1:64" x14ac:dyDescent="0.2">
      <c r="A71" s="2" t="s">
        <v>500</v>
      </c>
      <c r="B71" s="2">
        <v>152</v>
      </c>
      <c r="C71" s="2">
        <v>108701</v>
      </c>
      <c r="D71" s="2">
        <v>1.86</v>
      </c>
      <c r="E71" s="2">
        <v>18.996300000000002</v>
      </c>
      <c r="F71" s="2">
        <v>4.9000000000000004</v>
      </c>
      <c r="G71" s="2">
        <v>0.39644000000000001</v>
      </c>
      <c r="H71" s="2">
        <v>6.7</v>
      </c>
      <c r="I71" s="2">
        <v>5.4642999999999997E-2</v>
      </c>
      <c r="J71" s="2">
        <v>4.5</v>
      </c>
      <c r="K71" s="2">
        <v>0.67800000000000005</v>
      </c>
      <c r="L71" s="2">
        <v>343</v>
      </c>
      <c r="M71" s="2">
        <v>15.2</v>
      </c>
      <c r="N71" s="2">
        <v>339.1</v>
      </c>
      <c r="O71" s="2">
        <v>19.3</v>
      </c>
      <c r="P71" s="2">
        <v>312.39999999999998</v>
      </c>
      <c r="Q71" s="2">
        <v>112.2</v>
      </c>
      <c r="R71" s="2">
        <v>343</v>
      </c>
      <c r="S71" s="2">
        <v>15.2</v>
      </c>
      <c r="T71" s="2">
        <v>109.8</v>
      </c>
      <c r="AS71" s="2" t="s">
        <v>400</v>
      </c>
      <c r="AT71" s="2">
        <v>638</v>
      </c>
      <c r="AU71" s="2">
        <v>90184</v>
      </c>
      <c r="AV71" s="2">
        <v>6.31</v>
      </c>
      <c r="AW71" s="2">
        <v>17.005400000000002</v>
      </c>
      <c r="AX71" s="2">
        <v>1.7</v>
      </c>
      <c r="AY71" s="2">
        <v>0.73519999999999996</v>
      </c>
      <c r="AZ71" s="2">
        <v>2.6</v>
      </c>
      <c r="BA71" s="2">
        <v>9.0717000000000006E-2</v>
      </c>
      <c r="BB71" s="2">
        <v>2</v>
      </c>
      <c r="BC71" s="2">
        <v>0.754</v>
      </c>
      <c r="BD71" s="2">
        <v>559.79999999999995</v>
      </c>
      <c r="BE71" s="2">
        <v>10.7</v>
      </c>
      <c r="BF71" s="2">
        <v>559.6</v>
      </c>
      <c r="BG71" s="2">
        <v>11.4</v>
      </c>
      <c r="BH71" s="2">
        <v>558.9</v>
      </c>
      <c r="BI71" s="2">
        <v>37.799999999999997</v>
      </c>
      <c r="BJ71" s="2">
        <v>559.79999999999995</v>
      </c>
      <c r="BK71" s="2">
        <v>10.7</v>
      </c>
      <c r="BL71" s="2">
        <v>100.2</v>
      </c>
    </row>
    <row r="72" spans="1:64" x14ac:dyDescent="0.2">
      <c r="A72" s="2" t="s">
        <v>499</v>
      </c>
      <c r="B72" s="2">
        <v>274</v>
      </c>
      <c r="C72" s="2">
        <v>276474</v>
      </c>
      <c r="D72" s="2">
        <v>1.37</v>
      </c>
      <c r="E72" s="2">
        <v>18.542400000000001</v>
      </c>
      <c r="F72" s="2">
        <v>2.9</v>
      </c>
      <c r="G72" s="2">
        <v>0.39545000000000002</v>
      </c>
      <c r="H72" s="2">
        <v>4.4000000000000004</v>
      </c>
      <c r="I72" s="2">
        <v>5.3205000000000002E-2</v>
      </c>
      <c r="J72" s="2">
        <v>3.2</v>
      </c>
      <c r="K72" s="2">
        <v>0.73699999999999999</v>
      </c>
      <c r="L72" s="2">
        <v>334.2</v>
      </c>
      <c r="M72" s="2">
        <v>10.5</v>
      </c>
      <c r="N72" s="2">
        <v>338.3</v>
      </c>
      <c r="O72" s="2">
        <v>12.6</v>
      </c>
      <c r="P72" s="2">
        <v>367.1</v>
      </c>
      <c r="Q72" s="2">
        <v>66.400000000000006</v>
      </c>
      <c r="R72" s="2">
        <v>334.2</v>
      </c>
      <c r="S72" s="2">
        <v>10.5</v>
      </c>
      <c r="T72" s="2">
        <v>91</v>
      </c>
      <c r="AS72" s="2" t="s">
        <v>390</v>
      </c>
      <c r="AT72" s="2">
        <v>292</v>
      </c>
      <c r="AU72" s="2">
        <v>54896</v>
      </c>
      <c r="AV72" s="2">
        <v>1.79</v>
      </c>
      <c r="AW72" s="2">
        <v>13.1722</v>
      </c>
      <c r="AX72" s="2">
        <v>1.7</v>
      </c>
      <c r="AY72" s="2">
        <v>1.93818</v>
      </c>
      <c r="AZ72" s="2">
        <v>3.7</v>
      </c>
      <c r="BA72" s="2">
        <v>0.18524399999999999</v>
      </c>
      <c r="BB72" s="2">
        <v>3.2</v>
      </c>
      <c r="BC72" s="2">
        <v>0.88100000000000001</v>
      </c>
      <c r="BD72" s="2">
        <v>1095.5999999999999</v>
      </c>
      <c r="BE72" s="2">
        <v>32.700000000000003</v>
      </c>
      <c r="BF72" s="2">
        <v>1094.4000000000001</v>
      </c>
      <c r="BG72" s="2">
        <v>24.7</v>
      </c>
      <c r="BH72" s="2">
        <v>1092</v>
      </c>
      <c r="BI72" s="2">
        <v>35</v>
      </c>
      <c r="BJ72" s="2">
        <v>1092</v>
      </c>
      <c r="BK72" s="2">
        <v>35</v>
      </c>
      <c r="BL72" s="2">
        <v>100.3</v>
      </c>
    </row>
    <row r="73" spans="1:64" x14ac:dyDescent="0.2">
      <c r="A73" s="2" t="s">
        <v>498</v>
      </c>
      <c r="B73" s="2">
        <v>306</v>
      </c>
      <c r="C73" s="2">
        <v>70836</v>
      </c>
      <c r="D73" s="2">
        <v>1.44</v>
      </c>
      <c r="E73" s="2">
        <v>18.793199999999999</v>
      </c>
      <c r="F73" s="2">
        <v>3.1</v>
      </c>
      <c r="G73" s="2">
        <v>0.39251999999999998</v>
      </c>
      <c r="H73" s="2">
        <v>3.6</v>
      </c>
      <c r="I73" s="2">
        <v>5.3525000000000003E-2</v>
      </c>
      <c r="J73" s="2">
        <v>1.8</v>
      </c>
      <c r="K73" s="2">
        <v>0.51500000000000001</v>
      </c>
      <c r="L73" s="2">
        <v>336.1</v>
      </c>
      <c r="M73" s="2">
        <v>6</v>
      </c>
      <c r="N73" s="2">
        <v>336.2</v>
      </c>
      <c r="O73" s="2">
        <v>10.199999999999999</v>
      </c>
      <c r="P73" s="2">
        <v>336.8</v>
      </c>
      <c r="Q73" s="2">
        <v>69.2</v>
      </c>
      <c r="R73" s="2">
        <v>336.1</v>
      </c>
      <c r="S73" s="2">
        <v>6</v>
      </c>
      <c r="T73" s="2">
        <v>99.8</v>
      </c>
      <c r="AS73" s="2" t="s">
        <v>392</v>
      </c>
      <c r="AT73" s="2">
        <v>1071</v>
      </c>
      <c r="AU73" s="2">
        <v>186137</v>
      </c>
      <c r="AV73" s="2">
        <v>2.44</v>
      </c>
      <c r="AW73" s="2">
        <v>13.0974</v>
      </c>
      <c r="AX73" s="2">
        <v>1.5</v>
      </c>
      <c r="AY73" s="2">
        <v>1.9535899999999999</v>
      </c>
      <c r="AZ73" s="2">
        <v>2.4</v>
      </c>
      <c r="BA73" s="2">
        <v>0.18565899999999999</v>
      </c>
      <c r="BB73" s="2">
        <v>1.9</v>
      </c>
      <c r="BC73" s="2">
        <v>0.77900000000000003</v>
      </c>
      <c r="BD73" s="2">
        <v>1097.8</v>
      </c>
      <c r="BE73" s="2">
        <v>19.2</v>
      </c>
      <c r="BF73" s="2">
        <v>1099.7</v>
      </c>
      <c r="BG73" s="2">
        <v>16.399999999999999</v>
      </c>
      <c r="BH73" s="2">
        <v>1103.4000000000001</v>
      </c>
      <c r="BI73" s="2">
        <v>30.7</v>
      </c>
      <c r="BJ73" s="2">
        <v>1103.4000000000001</v>
      </c>
      <c r="BK73" s="2">
        <v>30.7</v>
      </c>
      <c r="BL73" s="2">
        <v>99.5</v>
      </c>
    </row>
    <row r="74" spans="1:64" x14ac:dyDescent="0.2">
      <c r="A74" s="2" t="s">
        <v>497</v>
      </c>
      <c r="B74" s="2">
        <v>227</v>
      </c>
      <c r="C74" s="2">
        <v>23261</v>
      </c>
      <c r="D74" s="2">
        <v>1.43</v>
      </c>
      <c r="E74" s="2">
        <v>18.711099999999998</v>
      </c>
      <c r="F74" s="2">
        <v>4</v>
      </c>
      <c r="G74" s="2">
        <v>0.38861000000000001</v>
      </c>
      <c r="H74" s="2">
        <v>5.9</v>
      </c>
      <c r="I74" s="2">
        <v>5.2761000000000002E-2</v>
      </c>
      <c r="J74" s="2">
        <v>4.4000000000000004</v>
      </c>
      <c r="K74" s="2">
        <v>0.74299999999999999</v>
      </c>
      <c r="L74" s="2">
        <v>331.5</v>
      </c>
      <c r="M74" s="2">
        <v>14.3</v>
      </c>
      <c r="N74" s="2">
        <v>333.4</v>
      </c>
      <c r="O74" s="2">
        <v>16.899999999999999</v>
      </c>
      <c r="P74" s="2">
        <v>346.7</v>
      </c>
      <c r="Q74" s="2">
        <v>89.9</v>
      </c>
      <c r="R74" s="2">
        <v>331.5</v>
      </c>
      <c r="S74" s="2">
        <v>14.3</v>
      </c>
      <c r="T74" s="2">
        <v>95.6</v>
      </c>
      <c r="AS74" s="2" t="s">
        <v>496</v>
      </c>
      <c r="AT74" s="2">
        <v>269</v>
      </c>
      <c r="AU74" s="2">
        <v>174304</v>
      </c>
      <c r="AV74" s="2">
        <v>1.76</v>
      </c>
      <c r="AW74" s="2">
        <v>13.058400000000001</v>
      </c>
      <c r="AX74" s="2">
        <v>1.9</v>
      </c>
      <c r="AY74" s="2">
        <v>1.9734400000000001</v>
      </c>
      <c r="AZ74" s="2">
        <v>3.3</v>
      </c>
      <c r="BA74" s="2">
        <v>0.18698500000000001</v>
      </c>
      <c r="BB74" s="2">
        <v>2.7</v>
      </c>
      <c r="BC74" s="2">
        <v>0.82199999999999995</v>
      </c>
      <c r="BD74" s="2">
        <v>1105</v>
      </c>
      <c r="BE74" s="2">
        <v>27.6</v>
      </c>
      <c r="BF74" s="2">
        <v>1106.5</v>
      </c>
      <c r="BG74" s="2">
        <v>22.3</v>
      </c>
      <c r="BH74" s="2">
        <v>1109.3</v>
      </c>
      <c r="BI74" s="2">
        <v>37.700000000000003</v>
      </c>
      <c r="BJ74" s="2">
        <v>1109.3</v>
      </c>
      <c r="BK74" s="2">
        <v>37.700000000000003</v>
      </c>
      <c r="BL74" s="2">
        <v>99.6</v>
      </c>
    </row>
    <row r="75" spans="1:64" x14ac:dyDescent="0.2">
      <c r="A75" s="2" t="s">
        <v>495</v>
      </c>
      <c r="B75" s="2">
        <v>355</v>
      </c>
      <c r="C75" s="2">
        <v>29802</v>
      </c>
      <c r="D75" s="2">
        <v>1.2</v>
      </c>
      <c r="E75" s="2">
        <v>18.5002</v>
      </c>
      <c r="F75" s="2">
        <v>3.1</v>
      </c>
      <c r="G75" s="2">
        <v>0.38712999999999997</v>
      </c>
      <c r="H75" s="2">
        <v>4.5</v>
      </c>
      <c r="I75" s="2">
        <v>5.1966999999999999E-2</v>
      </c>
      <c r="J75" s="2">
        <v>3.3</v>
      </c>
      <c r="K75" s="2">
        <v>0.73599999999999999</v>
      </c>
      <c r="L75" s="2">
        <v>326.60000000000002</v>
      </c>
      <c r="M75" s="2">
        <v>10.6</v>
      </c>
      <c r="N75" s="2">
        <v>332.3</v>
      </c>
      <c r="O75" s="2">
        <v>12.9</v>
      </c>
      <c r="P75" s="2">
        <v>372.2</v>
      </c>
      <c r="Q75" s="2">
        <v>69.2</v>
      </c>
      <c r="R75" s="2">
        <v>326.60000000000002</v>
      </c>
      <c r="S75" s="2">
        <v>10.6</v>
      </c>
      <c r="T75" s="2">
        <v>87.7</v>
      </c>
      <c r="AS75" s="2" t="s">
        <v>395</v>
      </c>
      <c r="AT75" s="2">
        <v>147</v>
      </c>
      <c r="AU75" s="2">
        <v>28017</v>
      </c>
      <c r="AV75" s="2">
        <v>2.99</v>
      </c>
      <c r="AW75" s="2">
        <v>13.1815</v>
      </c>
      <c r="AX75" s="2">
        <v>2.4</v>
      </c>
      <c r="AY75" s="2">
        <v>1.9452700000000001</v>
      </c>
      <c r="AZ75" s="2">
        <v>4.4000000000000004</v>
      </c>
      <c r="BA75" s="2">
        <v>0.186053</v>
      </c>
      <c r="BB75" s="2">
        <v>3.7</v>
      </c>
      <c r="BC75" s="2">
        <v>0.83899999999999997</v>
      </c>
      <c r="BD75" s="2">
        <v>1100</v>
      </c>
      <c r="BE75" s="2">
        <v>37.200000000000003</v>
      </c>
      <c r="BF75" s="2">
        <v>1096.8</v>
      </c>
      <c r="BG75" s="2">
        <v>29.4</v>
      </c>
      <c r="BH75" s="2">
        <v>1090.5999999999999</v>
      </c>
      <c r="BI75" s="2">
        <v>47.9</v>
      </c>
      <c r="BJ75" s="2">
        <v>1090.5999999999999</v>
      </c>
      <c r="BK75" s="2">
        <v>47.9</v>
      </c>
      <c r="BL75" s="2">
        <v>100.9</v>
      </c>
    </row>
    <row r="76" spans="1:64" x14ac:dyDescent="0.2">
      <c r="A76" s="2" t="s">
        <v>494</v>
      </c>
      <c r="B76" s="2">
        <v>150</v>
      </c>
      <c r="C76" s="2">
        <v>405885</v>
      </c>
      <c r="D76" s="2">
        <v>1.75</v>
      </c>
      <c r="E76" s="2">
        <v>18.7746</v>
      </c>
      <c r="F76" s="2">
        <v>5</v>
      </c>
      <c r="G76" s="2">
        <v>0.40110000000000001</v>
      </c>
      <c r="H76" s="2">
        <v>6.1</v>
      </c>
      <c r="I76" s="2">
        <v>5.4641000000000002E-2</v>
      </c>
      <c r="J76" s="2">
        <v>3.5</v>
      </c>
      <c r="K76" s="2">
        <v>0.57699999999999996</v>
      </c>
      <c r="L76" s="2">
        <v>343</v>
      </c>
      <c r="M76" s="2">
        <v>11.7</v>
      </c>
      <c r="N76" s="2">
        <v>342.4</v>
      </c>
      <c r="O76" s="2">
        <v>17.7</v>
      </c>
      <c r="P76" s="2">
        <v>339</v>
      </c>
      <c r="Q76" s="2">
        <v>112.4</v>
      </c>
      <c r="R76" s="2">
        <v>343</v>
      </c>
      <c r="S76" s="2">
        <v>11.7</v>
      </c>
      <c r="T76" s="2">
        <v>101.2</v>
      </c>
    </row>
    <row r="77" spans="1:64" x14ac:dyDescent="0.2">
      <c r="A77" s="2" t="s">
        <v>493</v>
      </c>
      <c r="B77" s="2">
        <v>259</v>
      </c>
      <c r="C77" s="2">
        <v>13974</v>
      </c>
      <c r="D77" s="2">
        <v>1.79</v>
      </c>
      <c r="E77" s="2">
        <v>17.2685</v>
      </c>
      <c r="F77" s="2">
        <v>9.3000000000000007</v>
      </c>
      <c r="G77" s="2">
        <v>0.42015999999999998</v>
      </c>
      <c r="H77" s="2">
        <v>10.199999999999999</v>
      </c>
      <c r="I77" s="2">
        <v>5.2645999999999998E-2</v>
      </c>
      <c r="J77" s="2">
        <v>4.3</v>
      </c>
      <c r="K77" s="2">
        <v>0.42099999999999999</v>
      </c>
      <c r="L77" s="2">
        <v>330.7</v>
      </c>
      <c r="M77" s="2">
        <v>13.9</v>
      </c>
      <c r="N77" s="2">
        <v>356.2</v>
      </c>
      <c r="O77" s="2">
        <v>30.7</v>
      </c>
      <c r="P77" s="2">
        <v>525.4</v>
      </c>
      <c r="Q77" s="2">
        <v>203.4</v>
      </c>
      <c r="R77" s="2">
        <v>330.7</v>
      </c>
      <c r="S77" s="2">
        <v>13.9</v>
      </c>
      <c r="T77" s="2">
        <v>62.9</v>
      </c>
    </row>
    <row r="78" spans="1:64" x14ac:dyDescent="0.2">
      <c r="A78" s="2" t="s">
        <v>101</v>
      </c>
      <c r="B78" s="2">
        <v>779</v>
      </c>
      <c r="C78" s="2">
        <v>39844</v>
      </c>
      <c r="D78" s="2">
        <v>10.14</v>
      </c>
      <c r="E78" s="2">
        <v>18.6892</v>
      </c>
      <c r="F78" s="2">
        <v>2.8</v>
      </c>
      <c r="G78" s="2">
        <v>0.39731</v>
      </c>
      <c r="H78" s="2">
        <v>3.4</v>
      </c>
      <c r="I78" s="2">
        <v>5.3878000000000002E-2</v>
      </c>
      <c r="J78" s="2">
        <v>2</v>
      </c>
      <c r="K78" s="2">
        <v>0.57499999999999996</v>
      </c>
      <c r="L78" s="2">
        <v>338.3</v>
      </c>
      <c r="M78" s="2">
        <v>6.5</v>
      </c>
      <c r="N78" s="2">
        <v>339.7</v>
      </c>
      <c r="O78" s="2">
        <v>9.9</v>
      </c>
      <c r="P78" s="2">
        <v>349.3</v>
      </c>
      <c r="Q78" s="2">
        <v>63.4</v>
      </c>
      <c r="R78" s="2">
        <v>338.3</v>
      </c>
      <c r="S78" s="2">
        <v>6.5</v>
      </c>
      <c r="T78" s="2">
        <v>96.9</v>
      </c>
    </row>
    <row r="79" spans="1:64" x14ac:dyDescent="0.2">
      <c r="A79" s="2" t="s">
        <v>492</v>
      </c>
      <c r="B79" s="2">
        <v>196</v>
      </c>
      <c r="C79" s="2">
        <v>14067</v>
      </c>
      <c r="D79" s="2">
        <v>1.83</v>
      </c>
      <c r="E79" s="2">
        <v>18.959800000000001</v>
      </c>
      <c r="F79" s="2">
        <v>4.5</v>
      </c>
      <c r="G79" s="2">
        <v>0.38917000000000002</v>
      </c>
      <c r="H79" s="2">
        <v>5.5</v>
      </c>
      <c r="I79" s="2">
        <v>5.3539000000000003E-2</v>
      </c>
      <c r="J79" s="2">
        <v>3</v>
      </c>
      <c r="K79" s="2">
        <v>0.55500000000000005</v>
      </c>
      <c r="L79" s="2">
        <v>336.2</v>
      </c>
      <c r="M79" s="2">
        <v>9.9</v>
      </c>
      <c r="N79" s="2">
        <v>333.8</v>
      </c>
      <c r="O79" s="2">
        <v>15.5</v>
      </c>
      <c r="P79" s="2">
        <v>316.7</v>
      </c>
      <c r="Q79" s="2">
        <v>103.1</v>
      </c>
      <c r="R79" s="2">
        <v>336.2</v>
      </c>
      <c r="S79" s="2">
        <v>9.9</v>
      </c>
      <c r="T79" s="2">
        <v>106.2</v>
      </c>
    </row>
    <row r="80" spans="1:64" x14ac:dyDescent="0.2">
      <c r="A80" s="2" t="s">
        <v>491</v>
      </c>
      <c r="B80" s="2">
        <v>203</v>
      </c>
      <c r="C80" s="2">
        <v>91607</v>
      </c>
      <c r="D80" s="2">
        <v>1.25</v>
      </c>
      <c r="E80" s="2">
        <v>18.8949</v>
      </c>
      <c r="F80" s="2">
        <v>3.9</v>
      </c>
      <c r="G80" s="2">
        <v>0.39278000000000002</v>
      </c>
      <c r="H80" s="2">
        <v>5</v>
      </c>
      <c r="I80" s="2">
        <v>5.3850000000000002E-2</v>
      </c>
      <c r="J80" s="2">
        <v>3.1</v>
      </c>
      <c r="K80" s="2">
        <v>0.625</v>
      </c>
      <c r="L80" s="2">
        <v>338.1</v>
      </c>
      <c r="M80" s="2">
        <v>10.199999999999999</v>
      </c>
      <c r="N80" s="2">
        <v>336.4</v>
      </c>
      <c r="O80" s="2">
        <v>14.2</v>
      </c>
      <c r="P80" s="2">
        <v>324.5</v>
      </c>
      <c r="Q80" s="2">
        <v>87.8</v>
      </c>
      <c r="R80" s="2">
        <v>338.1</v>
      </c>
      <c r="S80" s="2">
        <v>10.199999999999999</v>
      </c>
      <c r="T80" s="2">
        <v>104.2</v>
      </c>
    </row>
    <row r="81" spans="1:20" x14ac:dyDescent="0.2">
      <c r="A81" s="2" t="s">
        <v>490</v>
      </c>
      <c r="B81" s="2">
        <v>184</v>
      </c>
      <c r="C81" s="2">
        <v>101717</v>
      </c>
      <c r="D81" s="2">
        <v>1.36</v>
      </c>
      <c r="E81" s="2">
        <v>18.869700000000002</v>
      </c>
      <c r="F81" s="2">
        <v>4.3</v>
      </c>
      <c r="G81" s="2">
        <v>0.38694000000000001</v>
      </c>
      <c r="H81" s="2">
        <v>5.8</v>
      </c>
      <c r="I81" s="2">
        <v>5.2978999999999998E-2</v>
      </c>
      <c r="J81" s="2">
        <v>3.9</v>
      </c>
      <c r="K81" s="2">
        <v>0.66900000000000004</v>
      </c>
      <c r="L81" s="2">
        <v>332.8</v>
      </c>
      <c r="M81" s="2">
        <v>12.5</v>
      </c>
      <c r="N81" s="2">
        <v>332.1</v>
      </c>
      <c r="O81" s="2">
        <v>16.3</v>
      </c>
      <c r="P81" s="2">
        <v>327.60000000000002</v>
      </c>
      <c r="Q81" s="2">
        <v>97.3</v>
      </c>
      <c r="R81" s="2">
        <v>332.8</v>
      </c>
      <c r="S81" s="2">
        <v>12.5</v>
      </c>
      <c r="T81" s="2">
        <v>101.6</v>
      </c>
    </row>
    <row r="82" spans="1:20" x14ac:dyDescent="0.2">
      <c r="A82" s="2" t="s">
        <v>489</v>
      </c>
      <c r="B82" s="2">
        <v>226</v>
      </c>
      <c r="C82" s="2">
        <v>15900</v>
      </c>
      <c r="D82" s="2">
        <v>1.84</v>
      </c>
      <c r="E82" s="2">
        <v>19.363600000000002</v>
      </c>
      <c r="F82" s="2">
        <v>5.0999999999999996</v>
      </c>
      <c r="G82" s="2">
        <v>0.38522000000000001</v>
      </c>
      <c r="H82" s="2">
        <v>6.1</v>
      </c>
      <c r="I82" s="2">
        <v>5.4123999999999999E-2</v>
      </c>
      <c r="J82" s="2">
        <v>3.3</v>
      </c>
      <c r="K82" s="2">
        <v>0.54700000000000004</v>
      </c>
      <c r="L82" s="2">
        <v>339.8</v>
      </c>
      <c r="M82" s="2">
        <v>11</v>
      </c>
      <c r="N82" s="2">
        <v>330.9</v>
      </c>
      <c r="O82" s="2">
        <v>17.2</v>
      </c>
      <c r="P82" s="2">
        <v>268.60000000000002</v>
      </c>
      <c r="Q82" s="2">
        <v>116.7</v>
      </c>
      <c r="R82" s="2">
        <v>339.8</v>
      </c>
      <c r="S82" s="2">
        <v>11</v>
      </c>
      <c r="T82" s="2">
        <v>126.5</v>
      </c>
    </row>
    <row r="83" spans="1:20" x14ac:dyDescent="0.2">
      <c r="A83" s="2" t="s">
        <v>488</v>
      </c>
      <c r="B83" s="2">
        <v>288</v>
      </c>
      <c r="C83" s="2">
        <v>9990</v>
      </c>
      <c r="D83" s="2">
        <v>1.4</v>
      </c>
      <c r="E83" s="2">
        <v>18.9514</v>
      </c>
      <c r="F83" s="2">
        <v>5.6</v>
      </c>
      <c r="G83" s="2">
        <v>0.38656000000000001</v>
      </c>
      <c r="H83" s="2">
        <v>6.4</v>
      </c>
      <c r="I83" s="2">
        <v>5.3156000000000002E-2</v>
      </c>
      <c r="J83" s="2">
        <v>3.2</v>
      </c>
      <c r="K83" s="2">
        <v>0.499</v>
      </c>
      <c r="L83" s="2">
        <v>333.9</v>
      </c>
      <c r="M83" s="2">
        <v>10.4</v>
      </c>
      <c r="N83" s="2">
        <v>331.9</v>
      </c>
      <c r="O83" s="2">
        <v>18.2</v>
      </c>
      <c r="P83" s="2">
        <v>317.7</v>
      </c>
      <c r="Q83" s="2">
        <v>126.7</v>
      </c>
      <c r="R83" s="2">
        <v>333.9</v>
      </c>
      <c r="S83" s="2">
        <v>10.4</v>
      </c>
      <c r="T83" s="2">
        <v>105.1</v>
      </c>
    </row>
    <row r="84" spans="1:20" x14ac:dyDescent="0.2">
      <c r="A84" s="2" t="s">
        <v>117</v>
      </c>
      <c r="B84" s="2">
        <v>502</v>
      </c>
      <c r="C84" s="2">
        <v>34610</v>
      </c>
      <c r="D84" s="2">
        <v>11.99</v>
      </c>
      <c r="E84" s="2">
        <v>18.634599999999999</v>
      </c>
      <c r="F84" s="2">
        <v>2.2999999999999998</v>
      </c>
      <c r="G84" s="2">
        <v>0.39866000000000001</v>
      </c>
      <c r="H84" s="2">
        <v>3.3</v>
      </c>
      <c r="I84" s="2">
        <v>5.3903E-2</v>
      </c>
      <c r="J84" s="2">
        <v>2.2999999999999998</v>
      </c>
      <c r="K84" s="2">
        <v>0.7</v>
      </c>
      <c r="L84" s="2">
        <v>338.4</v>
      </c>
      <c r="M84" s="2">
        <v>7.5</v>
      </c>
      <c r="N84" s="2">
        <v>340.7</v>
      </c>
      <c r="O84" s="2">
        <v>9.5</v>
      </c>
      <c r="P84" s="2">
        <v>355.9</v>
      </c>
      <c r="Q84" s="2">
        <v>52.7</v>
      </c>
      <c r="R84" s="2">
        <v>338.4</v>
      </c>
      <c r="S84" s="2">
        <v>7.5</v>
      </c>
      <c r="T84" s="2">
        <v>95.1</v>
      </c>
    </row>
    <row r="85" spans="1:20" x14ac:dyDescent="0.2">
      <c r="A85" s="2" t="s">
        <v>148</v>
      </c>
      <c r="B85" s="2">
        <v>966</v>
      </c>
      <c r="C85" s="2">
        <v>51934</v>
      </c>
      <c r="D85" s="2">
        <v>7.92</v>
      </c>
      <c r="E85" s="2">
        <v>19.024100000000001</v>
      </c>
      <c r="F85" s="2">
        <v>2.2999999999999998</v>
      </c>
      <c r="G85" s="2">
        <v>0.38985999999999998</v>
      </c>
      <c r="H85" s="2">
        <v>3.1</v>
      </c>
      <c r="I85" s="2">
        <v>5.3816000000000003E-2</v>
      </c>
      <c r="J85" s="2">
        <v>2.2000000000000002</v>
      </c>
      <c r="K85" s="2">
        <v>0.69199999999999995</v>
      </c>
      <c r="L85" s="2">
        <v>337.9</v>
      </c>
      <c r="M85" s="2">
        <v>7.1</v>
      </c>
      <c r="N85" s="2">
        <v>334.3</v>
      </c>
      <c r="O85" s="2">
        <v>8.9</v>
      </c>
      <c r="P85" s="2">
        <v>309</v>
      </c>
      <c r="Q85" s="2">
        <v>51.3</v>
      </c>
      <c r="R85" s="2">
        <v>337.9</v>
      </c>
      <c r="S85" s="2">
        <v>7.1</v>
      </c>
      <c r="T85" s="2">
        <v>109.4</v>
      </c>
    </row>
    <row r="86" spans="1:20" x14ac:dyDescent="0.2">
      <c r="A86" s="2" t="s">
        <v>487</v>
      </c>
      <c r="B86" s="2">
        <v>134</v>
      </c>
      <c r="C86" s="2">
        <v>111234</v>
      </c>
      <c r="D86" s="2">
        <v>1.85</v>
      </c>
      <c r="E86" s="2">
        <v>18.670000000000002</v>
      </c>
      <c r="F86" s="2">
        <v>4.5</v>
      </c>
      <c r="G86" s="2">
        <v>0.38677</v>
      </c>
      <c r="H86" s="2">
        <v>6</v>
      </c>
      <c r="I86" s="2">
        <v>5.2395999999999998E-2</v>
      </c>
      <c r="J86" s="2">
        <v>3.9</v>
      </c>
      <c r="K86" s="2">
        <v>0.66</v>
      </c>
      <c r="L86" s="2">
        <v>329.2</v>
      </c>
      <c r="M86" s="2">
        <v>12.6</v>
      </c>
      <c r="N86" s="2">
        <v>332</v>
      </c>
      <c r="O86" s="2">
        <v>16.899999999999999</v>
      </c>
      <c r="P86" s="2">
        <v>351.6</v>
      </c>
      <c r="Q86" s="2">
        <v>101.1</v>
      </c>
      <c r="R86" s="2">
        <v>329.2</v>
      </c>
      <c r="S86" s="2">
        <v>12.6</v>
      </c>
      <c r="T86" s="2">
        <v>93.6</v>
      </c>
    </row>
    <row r="87" spans="1:20" x14ac:dyDescent="0.2">
      <c r="A87" s="2" t="s">
        <v>486</v>
      </c>
      <c r="B87" s="2">
        <v>261</v>
      </c>
      <c r="C87" s="2">
        <v>30927</v>
      </c>
      <c r="D87" s="2">
        <v>1.46</v>
      </c>
      <c r="E87" s="2">
        <v>19.037700000000001</v>
      </c>
      <c r="F87" s="2">
        <v>3.8</v>
      </c>
      <c r="G87" s="2">
        <v>0.37647000000000003</v>
      </c>
      <c r="H87" s="2">
        <v>4.5</v>
      </c>
      <c r="I87" s="2">
        <v>5.2003000000000001E-2</v>
      </c>
      <c r="J87" s="2">
        <v>2.2999999999999998</v>
      </c>
      <c r="K87" s="2">
        <v>0.51900000000000002</v>
      </c>
      <c r="L87" s="2">
        <v>326.8</v>
      </c>
      <c r="M87" s="2">
        <v>7.4</v>
      </c>
      <c r="N87" s="2">
        <v>324.39999999999998</v>
      </c>
      <c r="O87" s="2">
        <v>12.4</v>
      </c>
      <c r="P87" s="2">
        <v>307.39999999999998</v>
      </c>
      <c r="Q87" s="2">
        <v>86.9</v>
      </c>
      <c r="R87" s="2">
        <v>326.8</v>
      </c>
      <c r="S87" s="2">
        <v>7.4</v>
      </c>
      <c r="T87" s="2">
        <v>106.3</v>
      </c>
    </row>
    <row r="88" spans="1:20" x14ac:dyDescent="0.2">
      <c r="A88" s="2" t="s">
        <v>485</v>
      </c>
      <c r="B88" s="2">
        <v>364</v>
      </c>
      <c r="C88" s="2">
        <v>82896</v>
      </c>
      <c r="D88" s="2">
        <v>1.25</v>
      </c>
      <c r="E88" s="2">
        <v>18.468800000000002</v>
      </c>
      <c r="F88" s="2">
        <v>3.1</v>
      </c>
      <c r="G88" s="2">
        <v>0.40378999999999998</v>
      </c>
      <c r="H88" s="2">
        <v>4.2</v>
      </c>
      <c r="I88" s="2">
        <v>5.4112E-2</v>
      </c>
      <c r="J88" s="2">
        <v>2.9</v>
      </c>
      <c r="K88" s="2">
        <v>0.68400000000000005</v>
      </c>
      <c r="L88" s="2">
        <v>339.7</v>
      </c>
      <c r="M88" s="2">
        <v>9.5</v>
      </c>
      <c r="N88" s="2">
        <v>344.4</v>
      </c>
      <c r="O88" s="2">
        <v>12.3</v>
      </c>
      <c r="P88" s="2">
        <v>376.1</v>
      </c>
      <c r="Q88" s="2">
        <v>69.099999999999994</v>
      </c>
      <c r="R88" s="2">
        <v>339.7</v>
      </c>
      <c r="S88" s="2">
        <v>9.5</v>
      </c>
      <c r="T88" s="2">
        <v>90.3</v>
      </c>
    </row>
    <row r="89" spans="1:20" x14ac:dyDescent="0.2">
      <c r="A89" s="2" t="s">
        <v>484</v>
      </c>
      <c r="B89" s="2">
        <v>180</v>
      </c>
      <c r="C89" s="2">
        <v>1500</v>
      </c>
      <c r="D89" s="2">
        <v>1.79</v>
      </c>
      <c r="E89" s="2">
        <v>22.9453</v>
      </c>
      <c r="F89" s="2">
        <v>25</v>
      </c>
      <c r="G89" s="2">
        <v>0.31211</v>
      </c>
      <c r="H89" s="2">
        <v>25.3</v>
      </c>
      <c r="I89" s="2">
        <v>5.1964000000000003E-2</v>
      </c>
      <c r="J89" s="2">
        <v>4</v>
      </c>
      <c r="K89" s="2">
        <v>0.157</v>
      </c>
      <c r="L89" s="2">
        <v>326.60000000000002</v>
      </c>
      <c r="M89" s="2">
        <v>12.7</v>
      </c>
      <c r="N89" s="2">
        <v>275.8</v>
      </c>
      <c r="O89" s="2">
        <v>61.1</v>
      </c>
      <c r="P89" s="2">
        <v>135.30000000000001</v>
      </c>
      <c r="Q89" s="2">
        <v>620.1</v>
      </c>
      <c r="R89" s="2">
        <v>326.60000000000002</v>
      </c>
      <c r="S89" s="2">
        <v>12.7</v>
      </c>
      <c r="T89" s="2">
        <v>241.4</v>
      </c>
    </row>
    <row r="90" spans="1:20" x14ac:dyDescent="0.2">
      <c r="A90" s="2" t="s">
        <v>483</v>
      </c>
      <c r="B90" s="2">
        <v>93</v>
      </c>
      <c r="C90" s="2">
        <v>6807</v>
      </c>
      <c r="D90" s="2">
        <v>2.04</v>
      </c>
      <c r="E90" s="2">
        <v>16.9557</v>
      </c>
      <c r="F90" s="2">
        <v>7.7</v>
      </c>
      <c r="G90" s="2">
        <v>0.71325000000000005</v>
      </c>
      <c r="H90" s="2">
        <v>8.9</v>
      </c>
      <c r="I90" s="2">
        <v>8.7750999999999996E-2</v>
      </c>
      <c r="J90" s="2">
        <v>4.4000000000000004</v>
      </c>
      <c r="K90" s="2">
        <v>0.49199999999999999</v>
      </c>
      <c r="L90" s="2">
        <v>542.20000000000005</v>
      </c>
      <c r="M90" s="2">
        <v>22.7</v>
      </c>
      <c r="N90" s="2">
        <v>546.70000000000005</v>
      </c>
      <c r="O90" s="2">
        <v>37.5</v>
      </c>
      <c r="P90" s="2">
        <v>565.29999999999995</v>
      </c>
      <c r="Q90" s="2">
        <v>168.3</v>
      </c>
      <c r="R90" s="2">
        <v>542.20000000000005</v>
      </c>
      <c r="S90" s="2">
        <v>22.7</v>
      </c>
      <c r="T90" s="2">
        <v>95.9</v>
      </c>
    </row>
    <row r="91" spans="1:20" x14ac:dyDescent="0.2">
      <c r="A91" s="2" t="s">
        <v>482</v>
      </c>
      <c r="B91" s="2">
        <v>617</v>
      </c>
      <c r="C91" s="2">
        <v>46211</v>
      </c>
      <c r="D91" s="2">
        <v>11.74</v>
      </c>
      <c r="E91" s="2">
        <v>18.6997</v>
      </c>
      <c r="F91" s="2">
        <v>2.2999999999999998</v>
      </c>
      <c r="G91" s="2">
        <v>0.39266000000000001</v>
      </c>
      <c r="H91" s="2">
        <v>3.1</v>
      </c>
      <c r="I91" s="2">
        <v>5.3276999999999998E-2</v>
      </c>
      <c r="J91" s="2">
        <v>2.1</v>
      </c>
      <c r="K91" s="2">
        <v>0.68200000000000005</v>
      </c>
      <c r="L91" s="2">
        <v>334.6</v>
      </c>
      <c r="M91" s="2">
        <v>7</v>
      </c>
      <c r="N91" s="2">
        <v>336.3</v>
      </c>
      <c r="O91" s="2">
        <v>9</v>
      </c>
      <c r="P91" s="2">
        <v>348.1</v>
      </c>
      <c r="Q91" s="2">
        <v>51.7</v>
      </c>
      <c r="R91" s="2">
        <v>334.6</v>
      </c>
      <c r="S91" s="2">
        <v>7</v>
      </c>
      <c r="T91" s="2">
        <v>96.1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B7EDF-0EF4-B54D-AC3E-0A2B1EB2EF9C}">
  <dimension ref="A1:BL83"/>
  <sheetViews>
    <sheetView tabSelected="1" workbookViewId="0">
      <selection activeCell="G14" sqref="G14"/>
    </sheetView>
  </sheetViews>
  <sheetFormatPr baseColWidth="10" defaultRowHeight="15" x14ac:dyDescent="0.2"/>
  <cols>
    <col min="1" max="17" width="10.83203125" style="2"/>
    <col min="18" max="18" width="10.83203125" style="3"/>
    <col min="19" max="16384" width="10.83203125" style="2"/>
  </cols>
  <sheetData>
    <row r="1" spans="1:49" x14ac:dyDescent="0.2">
      <c r="A1" s="2" t="s">
        <v>0</v>
      </c>
      <c r="W1" s="2" t="s">
        <v>207</v>
      </c>
      <c r="X1" s="2" t="s">
        <v>226</v>
      </c>
      <c r="Y1" s="2" t="s">
        <v>231</v>
      </c>
      <c r="Z1" s="2" t="s">
        <v>237</v>
      </c>
      <c r="AA1" s="2" t="s">
        <v>243</v>
      </c>
      <c r="AB1" s="2" t="s">
        <v>249</v>
      </c>
      <c r="AC1" s="2" t="s">
        <v>255</v>
      </c>
      <c r="AD1" s="2" t="s">
        <v>261</v>
      </c>
      <c r="AE1" s="2" t="s">
        <v>267</v>
      </c>
      <c r="AF1" s="2" t="s">
        <v>272</v>
      </c>
      <c r="AG1" s="2" t="s">
        <v>277</v>
      </c>
      <c r="AH1" s="2" t="s">
        <v>282</v>
      </c>
      <c r="AI1" s="2" t="s">
        <v>292</v>
      </c>
      <c r="AJ1" s="2" t="s">
        <v>302</v>
      </c>
      <c r="AK1" s="2" t="s">
        <v>309</v>
      </c>
      <c r="AL1" s="2" t="s">
        <v>314</v>
      </c>
      <c r="AM1" s="2" t="s">
        <v>322</v>
      </c>
      <c r="AN1" s="2" t="s">
        <v>328</v>
      </c>
      <c r="AO1" s="2" t="s">
        <v>334</v>
      </c>
      <c r="AP1" s="2" t="s">
        <v>342</v>
      </c>
      <c r="AQ1" s="2" t="s">
        <v>347</v>
      </c>
      <c r="AR1" s="2" t="s">
        <v>350</v>
      </c>
      <c r="AS1" s="2" t="s">
        <v>352</v>
      </c>
      <c r="AT1" s="2" t="s">
        <v>431</v>
      </c>
      <c r="AU1" s="2" t="s">
        <v>436</v>
      </c>
      <c r="AV1" s="2" t="s">
        <v>442</v>
      </c>
      <c r="AW1" s="2" t="s">
        <v>447</v>
      </c>
    </row>
    <row r="2" spans="1:49" x14ac:dyDescent="0.2">
      <c r="A2" s="2" t="s">
        <v>1</v>
      </c>
      <c r="W2" s="2" t="s">
        <v>208</v>
      </c>
      <c r="X2" s="2" t="s">
        <v>227</v>
      </c>
      <c r="Y2" s="2" t="s">
        <v>232</v>
      </c>
      <c r="Z2" s="2" t="s">
        <v>238</v>
      </c>
      <c r="AA2" s="2" t="s">
        <v>238</v>
      </c>
      <c r="AB2" s="2" t="s">
        <v>238</v>
      </c>
      <c r="AC2" s="2" t="s">
        <v>238</v>
      </c>
      <c r="AD2" s="2" t="s">
        <v>262</v>
      </c>
      <c r="AE2" s="2" t="s">
        <v>268</v>
      </c>
      <c r="AF2" s="2" t="s">
        <v>268</v>
      </c>
      <c r="AG2" s="2" t="s">
        <v>268</v>
      </c>
      <c r="AH2" s="2" t="s">
        <v>268</v>
      </c>
      <c r="AI2" s="2" t="s">
        <v>293</v>
      </c>
      <c r="AJ2" s="2" t="s">
        <v>303</v>
      </c>
      <c r="AO2" s="2" t="s">
        <v>335</v>
      </c>
      <c r="AP2" s="2" t="s">
        <v>335</v>
      </c>
      <c r="AQ2" s="2" t="s">
        <v>348</v>
      </c>
      <c r="AR2" s="2" t="s">
        <v>263</v>
      </c>
      <c r="AS2" s="2" t="s">
        <v>245</v>
      </c>
      <c r="AT2" s="2" t="s">
        <v>245</v>
      </c>
      <c r="AU2" s="2" t="s">
        <v>555</v>
      </c>
      <c r="AV2" s="2" t="s">
        <v>245</v>
      </c>
      <c r="AW2" s="2" t="s">
        <v>554</v>
      </c>
    </row>
    <row r="3" spans="1:49" x14ac:dyDescent="0.2">
      <c r="A3" s="2" t="s">
        <v>2</v>
      </c>
      <c r="W3" s="2" t="s">
        <v>209</v>
      </c>
      <c r="Z3" s="2" t="s">
        <v>245</v>
      </c>
      <c r="AA3" s="2" t="s">
        <v>245</v>
      </c>
      <c r="AD3" s="2" t="s">
        <v>245</v>
      </c>
      <c r="AE3" s="2" t="s">
        <v>245</v>
      </c>
      <c r="AH3" s="2" t="s">
        <v>245</v>
      </c>
      <c r="AI3" s="2" t="s">
        <v>245</v>
      </c>
      <c r="AJ3" s="2" t="s">
        <v>245</v>
      </c>
      <c r="AK3" s="2" t="s">
        <v>245</v>
      </c>
      <c r="AL3" s="2" t="s">
        <v>245</v>
      </c>
      <c r="AM3" s="2" t="s">
        <v>245</v>
      </c>
      <c r="AN3" s="2" t="s">
        <v>553</v>
      </c>
    </row>
    <row r="4" spans="1:49" x14ac:dyDescent="0.2">
      <c r="A4" s="2" t="s">
        <v>3</v>
      </c>
      <c r="W4" s="2" t="s">
        <v>210</v>
      </c>
      <c r="AB4" s="2" t="s">
        <v>245</v>
      </c>
      <c r="AC4" s="2" t="s">
        <v>245</v>
      </c>
      <c r="AD4" s="2" t="s">
        <v>245</v>
      </c>
      <c r="AE4" s="2" t="s">
        <v>245</v>
      </c>
      <c r="AF4" s="2" t="s">
        <v>305</v>
      </c>
      <c r="AG4" s="2" t="s">
        <v>245</v>
      </c>
      <c r="AH4" s="2" t="s">
        <v>245</v>
      </c>
      <c r="AI4" s="2" t="s">
        <v>245</v>
      </c>
      <c r="AJ4" s="2" t="s">
        <v>245</v>
      </c>
      <c r="AK4" s="2" t="s">
        <v>245</v>
      </c>
      <c r="AL4" s="2" t="s">
        <v>245</v>
      </c>
      <c r="AM4" s="2" t="s">
        <v>305</v>
      </c>
      <c r="AN4" s="2" t="s">
        <v>552</v>
      </c>
    </row>
    <row r="5" spans="1:49" x14ac:dyDescent="0.2">
      <c r="A5" s="2" t="s">
        <v>4</v>
      </c>
      <c r="B5" s="2" t="s">
        <v>160</v>
      </c>
    </row>
    <row r="6" spans="1:49" x14ac:dyDescent="0.2">
      <c r="A6" s="2" t="s">
        <v>5</v>
      </c>
      <c r="B6" s="2" t="s">
        <v>161</v>
      </c>
    </row>
    <row r="7" spans="1:49" x14ac:dyDescent="0.2">
      <c r="A7" s="2" t="s">
        <v>6</v>
      </c>
      <c r="X7" s="2" t="s">
        <v>228</v>
      </c>
      <c r="Y7" s="2" t="s">
        <v>233</v>
      </c>
      <c r="Z7" s="2" t="s">
        <v>240</v>
      </c>
      <c r="AA7" s="2" t="s">
        <v>246</v>
      </c>
      <c r="AB7" s="2" t="s">
        <v>252</v>
      </c>
      <c r="AC7" s="2" t="s">
        <v>258</v>
      </c>
      <c r="AI7" s="2" t="s">
        <v>296</v>
      </c>
      <c r="AJ7" s="2" t="s">
        <v>306</v>
      </c>
      <c r="AK7" s="2" t="s">
        <v>311</v>
      </c>
      <c r="AL7" s="2" t="s">
        <v>316</v>
      </c>
      <c r="AM7" s="2" t="s">
        <v>325</v>
      </c>
      <c r="AN7" s="2" t="s">
        <v>331</v>
      </c>
      <c r="AO7" s="2" t="s">
        <v>336</v>
      </c>
      <c r="AP7" s="2" t="s">
        <v>344</v>
      </c>
      <c r="AQ7" s="2" t="s">
        <v>349</v>
      </c>
      <c r="AT7" s="2" t="s">
        <v>433</v>
      </c>
      <c r="AU7" s="2" t="s">
        <v>438</v>
      </c>
      <c r="AV7" s="2" t="s">
        <v>444</v>
      </c>
    </row>
    <row r="8" spans="1:49" x14ac:dyDescent="0.2">
      <c r="A8" s="2" t="s">
        <v>7</v>
      </c>
      <c r="W8" s="2" t="s">
        <v>211</v>
      </c>
      <c r="X8" s="2">
        <v>0.7</v>
      </c>
      <c r="Y8" s="2">
        <v>0.2</v>
      </c>
      <c r="Z8" s="2">
        <v>0.2</v>
      </c>
      <c r="AA8" s="2">
        <v>0</v>
      </c>
      <c r="AB8" s="2">
        <v>0.2</v>
      </c>
      <c r="AC8" s="2">
        <v>5.2999999999999999E-2</v>
      </c>
      <c r="AH8" s="2" t="s">
        <v>286</v>
      </c>
      <c r="AI8" s="2" t="s">
        <v>551</v>
      </c>
      <c r="AJ8" s="2">
        <v>5.8</v>
      </c>
      <c r="AK8" s="2">
        <v>0.3</v>
      </c>
      <c r="AL8" s="2" t="s">
        <v>550</v>
      </c>
      <c r="AM8" s="2">
        <v>8.1</v>
      </c>
      <c r="AN8" s="2">
        <v>0.7</v>
      </c>
      <c r="AO8" s="2" t="s">
        <v>549</v>
      </c>
      <c r="AP8" s="2">
        <v>12.4</v>
      </c>
      <c r="AQ8" s="2">
        <v>0.5</v>
      </c>
      <c r="AS8" s="2" t="s">
        <v>354</v>
      </c>
      <c r="AT8" s="2">
        <v>0.6</v>
      </c>
      <c r="AU8" s="2">
        <v>1.5</v>
      </c>
      <c r="AV8" s="2">
        <v>0.6</v>
      </c>
    </row>
    <row r="9" spans="1:49" x14ac:dyDescent="0.2">
      <c r="A9" s="2" t="s">
        <v>8</v>
      </c>
      <c r="B9" s="2" t="s">
        <v>162</v>
      </c>
      <c r="W9" s="2" t="s">
        <v>212</v>
      </c>
      <c r="X9" s="2">
        <v>0.68</v>
      </c>
      <c r="Y9" s="2">
        <v>0.17</v>
      </c>
      <c r="Z9" s="2">
        <v>0.2</v>
      </c>
      <c r="AA9" s="2">
        <v>5.0000000000000001E-3</v>
      </c>
      <c r="AB9" s="2">
        <v>0.2</v>
      </c>
      <c r="AC9" s="2">
        <v>0.09</v>
      </c>
      <c r="AH9" s="2" t="s">
        <v>287</v>
      </c>
      <c r="AI9" s="2" t="s">
        <v>548</v>
      </c>
      <c r="AJ9" s="2">
        <v>2.8</v>
      </c>
      <c r="AK9" s="2">
        <v>0.4</v>
      </c>
      <c r="AL9" s="2" t="s">
        <v>547</v>
      </c>
      <c r="AM9" s="2">
        <v>9.8000000000000007</v>
      </c>
      <c r="AN9" s="2">
        <v>0.4</v>
      </c>
      <c r="AO9" s="2" t="s">
        <v>546</v>
      </c>
      <c r="AP9" s="2">
        <v>8.6999999999999993</v>
      </c>
      <c r="AQ9" s="2">
        <v>0.4</v>
      </c>
    </row>
    <row r="10" spans="1:49" x14ac:dyDescent="0.2">
      <c r="A10" s="2" t="s">
        <v>9</v>
      </c>
      <c r="B10" s="2">
        <v>0.7</v>
      </c>
      <c r="W10" s="2" t="s">
        <v>213</v>
      </c>
      <c r="X10" s="2">
        <v>1.99</v>
      </c>
      <c r="Y10" s="2">
        <v>0.69</v>
      </c>
      <c r="Z10" s="2">
        <v>0.5</v>
      </c>
      <c r="AA10" s="2">
        <v>5.8000000000000003E-2</v>
      </c>
      <c r="AB10" s="2">
        <v>0.5</v>
      </c>
      <c r="AC10" s="2">
        <v>0.5</v>
      </c>
      <c r="AH10" s="2" t="s">
        <v>288</v>
      </c>
      <c r="AI10" s="2" t="s">
        <v>545</v>
      </c>
      <c r="AJ10" s="2">
        <v>3.9</v>
      </c>
      <c r="AK10" s="2">
        <v>1.2</v>
      </c>
      <c r="AL10" s="2" t="s">
        <v>544</v>
      </c>
      <c r="AM10" s="2">
        <v>18.7</v>
      </c>
      <c r="AN10" s="2">
        <v>1.2</v>
      </c>
      <c r="AO10" s="2" t="s">
        <v>543</v>
      </c>
      <c r="AP10" s="2">
        <v>7.1</v>
      </c>
      <c r="AQ10" s="2">
        <v>3.9</v>
      </c>
    </row>
    <row r="11" spans="1:49" x14ac:dyDescent="0.2">
      <c r="A11" s="2" t="s">
        <v>10</v>
      </c>
      <c r="B11" s="2">
        <v>0.68</v>
      </c>
    </row>
    <row r="12" spans="1:49" x14ac:dyDescent="0.2">
      <c r="A12" s="2" t="s">
        <v>11</v>
      </c>
      <c r="B12" s="2">
        <v>1.99</v>
      </c>
    </row>
    <row r="13" spans="1:49" x14ac:dyDescent="0.2">
      <c r="A13" s="2" t="s">
        <v>12</v>
      </c>
    </row>
    <row r="14" spans="1:49" x14ac:dyDescent="0.2">
      <c r="A14" s="2" t="s">
        <v>13</v>
      </c>
      <c r="B14" s="2" t="s">
        <v>163</v>
      </c>
    </row>
    <row r="15" spans="1:49" x14ac:dyDescent="0.2">
      <c r="A15" s="2" t="s">
        <v>14</v>
      </c>
    </row>
    <row r="16" spans="1:49" x14ac:dyDescent="0.2">
      <c r="A16" s="2" t="s">
        <v>15</v>
      </c>
    </row>
    <row r="17" spans="1:64" x14ac:dyDescent="0.2">
      <c r="A17" s="2" t="s">
        <v>16</v>
      </c>
      <c r="B17" s="2" t="s">
        <v>164</v>
      </c>
    </row>
    <row r="18" spans="1:64" x14ac:dyDescent="0.2">
      <c r="A18" s="2" t="s">
        <v>17</v>
      </c>
      <c r="B18" s="2" t="s">
        <v>165</v>
      </c>
    </row>
    <row r="19" spans="1:64" x14ac:dyDescent="0.2">
      <c r="B19" s="2" t="s">
        <v>166</v>
      </c>
    </row>
    <row r="21" spans="1:64" x14ac:dyDescent="0.2">
      <c r="A21" s="2" t="s">
        <v>18</v>
      </c>
      <c r="C21" s="2" t="s">
        <v>169</v>
      </c>
      <c r="L21" s="2" t="s">
        <v>188</v>
      </c>
      <c r="W21" s="2" t="s">
        <v>214</v>
      </c>
      <c r="Y21" s="2" t="s">
        <v>169</v>
      </c>
      <c r="AH21" s="2" t="s">
        <v>188</v>
      </c>
      <c r="AS21" s="2" t="s">
        <v>355</v>
      </c>
      <c r="AU21" s="2" t="s">
        <v>169</v>
      </c>
      <c r="BD21" s="2" t="s">
        <v>188</v>
      </c>
    </row>
    <row r="23" spans="1:64" x14ac:dyDescent="0.2">
      <c r="A23" s="2" t="s">
        <v>19</v>
      </c>
      <c r="B23" s="2" t="s">
        <v>167</v>
      </c>
      <c r="C23" s="2" t="s">
        <v>170</v>
      </c>
      <c r="D23" s="2" t="s">
        <v>172</v>
      </c>
      <c r="E23" s="2" t="s">
        <v>174</v>
      </c>
      <c r="F23" s="2" t="s">
        <v>176</v>
      </c>
      <c r="G23" s="2" t="s">
        <v>175</v>
      </c>
      <c r="H23" s="2" t="s">
        <v>176</v>
      </c>
      <c r="I23" s="2" t="s">
        <v>174</v>
      </c>
      <c r="J23" s="2" t="s">
        <v>176</v>
      </c>
      <c r="K23" s="2" t="s">
        <v>186</v>
      </c>
      <c r="L23" s="2" t="s">
        <v>174</v>
      </c>
      <c r="M23" s="2" t="s">
        <v>176</v>
      </c>
      <c r="N23" s="2" t="s">
        <v>175</v>
      </c>
      <c r="O23" s="2" t="s">
        <v>176</v>
      </c>
      <c r="P23" s="2" t="s">
        <v>174</v>
      </c>
      <c r="Q23" s="2" t="s">
        <v>176</v>
      </c>
      <c r="R23" s="3" t="s">
        <v>201</v>
      </c>
      <c r="S23" s="2" t="s">
        <v>176</v>
      </c>
      <c r="T23" s="2" t="s">
        <v>205</v>
      </c>
      <c r="W23" s="2" t="s">
        <v>19</v>
      </c>
      <c r="X23" s="2" t="s">
        <v>167</v>
      </c>
      <c r="Y23" s="2" t="s">
        <v>170</v>
      </c>
      <c r="Z23" s="2" t="s">
        <v>172</v>
      </c>
      <c r="AA23" s="2" t="s">
        <v>174</v>
      </c>
      <c r="AB23" s="2" t="s">
        <v>176</v>
      </c>
      <c r="AC23" s="2" t="s">
        <v>175</v>
      </c>
      <c r="AD23" s="2" t="s">
        <v>176</v>
      </c>
      <c r="AE23" s="2" t="s">
        <v>174</v>
      </c>
      <c r="AF23" s="2" t="s">
        <v>176</v>
      </c>
      <c r="AG23" s="2" t="s">
        <v>186</v>
      </c>
      <c r="AH23" s="2" t="s">
        <v>174</v>
      </c>
      <c r="AI23" s="2" t="s">
        <v>176</v>
      </c>
      <c r="AJ23" s="2" t="s">
        <v>175</v>
      </c>
      <c r="AK23" s="2" t="s">
        <v>176</v>
      </c>
      <c r="AL23" s="2" t="s">
        <v>174</v>
      </c>
      <c r="AM23" s="2" t="s">
        <v>176</v>
      </c>
      <c r="AN23" s="2" t="s">
        <v>201</v>
      </c>
      <c r="AO23" s="2" t="s">
        <v>176</v>
      </c>
      <c r="AP23" s="2" t="s">
        <v>205</v>
      </c>
      <c r="AS23" s="2" t="s">
        <v>19</v>
      </c>
      <c r="AT23" s="2" t="s">
        <v>167</v>
      </c>
      <c r="AU23" s="2" t="s">
        <v>170</v>
      </c>
      <c r="AV23" s="2" t="s">
        <v>172</v>
      </c>
      <c r="AW23" s="2" t="s">
        <v>174</v>
      </c>
      <c r="AX23" s="2" t="s">
        <v>176</v>
      </c>
      <c r="AY23" s="2" t="s">
        <v>175</v>
      </c>
      <c r="AZ23" s="2" t="s">
        <v>176</v>
      </c>
      <c r="BA23" s="2" t="s">
        <v>174</v>
      </c>
      <c r="BB23" s="2" t="s">
        <v>176</v>
      </c>
      <c r="BC23" s="2" t="s">
        <v>186</v>
      </c>
      <c r="BD23" s="2" t="s">
        <v>174</v>
      </c>
      <c r="BE23" s="2" t="s">
        <v>176</v>
      </c>
      <c r="BF23" s="2" t="s">
        <v>175</v>
      </c>
      <c r="BG23" s="2" t="s">
        <v>176</v>
      </c>
      <c r="BH23" s="2" t="s">
        <v>174</v>
      </c>
      <c r="BI23" s="2" t="s">
        <v>176</v>
      </c>
      <c r="BJ23" s="2" t="s">
        <v>201</v>
      </c>
      <c r="BK23" s="2" t="s">
        <v>176</v>
      </c>
      <c r="BL23" s="2" t="s">
        <v>205</v>
      </c>
    </row>
    <row r="24" spans="1:64" x14ac:dyDescent="0.2">
      <c r="B24" s="2" t="s">
        <v>168</v>
      </c>
      <c r="C24" s="2" t="s">
        <v>171</v>
      </c>
      <c r="D24" s="2" t="s">
        <v>173</v>
      </c>
      <c r="E24" s="2" t="s">
        <v>175</v>
      </c>
      <c r="F24" s="2" t="s">
        <v>177</v>
      </c>
      <c r="G24" s="2" t="s">
        <v>179</v>
      </c>
      <c r="H24" s="2" t="s">
        <v>177</v>
      </c>
      <c r="I24" s="2" t="s">
        <v>183</v>
      </c>
      <c r="J24" s="2" t="s">
        <v>177</v>
      </c>
      <c r="K24" s="2" t="s">
        <v>187</v>
      </c>
      <c r="L24" s="2" t="s">
        <v>183</v>
      </c>
      <c r="M24" s="2" t="s">
        <v>192</v>
      </c>
      <c r="N24" s="2" t="s">
        <v>179</v>
      </c>
      <c r="O24" s="2" t="s">
        <v>192</v>
      </c>
      <c r="P24" s="2" t="s">
        <v>175</v>
      </c>
      <c r="Q24" s="2" t="s">
        <v>192</v>
      </c>
      <c r="R24" s="3" t="s">
        <v>192</v>
      </c>
      <c r="S24" s="2" t="s">
        <v>192</v>
      </c>
      <c r="T24" s="2" t="s">
        <v>177</v>
      </c>
      <c r="X24" s="2" t="s">
        <v>168</v>
      </c>
      <c r="Y24" s="2" t="s">
        <v>171</v>
      </c>
      <c r="Z24" s="2" t="s">
        <v>173</v>
      </c>
      <c r="AA24" s="2" t="s">
        <v>175</v>
      </c>
      <c r="AB24" s="2" t="s">
        <v>177</v>
      </c>
      <c r="AC24" s="2" t="s">
        <v>179</v>
      </c>
      <c r="AD24" s="2" t="s">
        <v>177</v>
      </c>
      <c r="AE24" s="2" t="s">
        <v>183</v>
      </c>
      <c r="AF24" s="2" t="s">
        <v>177</v>
      </c>
      <c r="AG24" s="2" t="s">
        <v>187</v>
      </c>
      <c r="AH24" s="2" t="s">
        <v>183</v>
      </c>
      <c r="AI24" s="2" t="s">
        <v>192</v>
      </c>
      <c r="AJ24" s="2" t="s">
        <v>179</v>
      </c>
      <c r="AK24" s="2" t="s">
        <v>192</v>
      </c>
      <c r="AL24" s="2" t="s">
        <v>175</v>
      </c>
      <c r="AM24" s="2" t="s">
        <v>192</v>
      </c>
      <c r="AN24" s="2" t="s">
        <v>192</v>
      </c>
      <c r="AO24" s="2" t="s">
        <v>192</v>
      </c>
      <c r="AP24" s="2" t="s">
        <v>177</v>
      </c>
      <c r="AT24" s="2" t="s">
        <v>168</v>
      </c>
      <c r="AU24" s="2" t="s">
        <v>171</v>
      </c>
      <c r="AV24" s="2" t="s">
        <v>173</v>
      </c>
      <c r="AW24" s="2" t="s">
        <v>175</v>
      </c>
      <c r="AX24" s="2" t="s">
        <v>177</v>
      </c>
      <c r="AY24" s="2" t="s">
        <v>179</v>
      </c>
      <c r="AZ24" s="2" t="s">
        <v>177</v>
      </c>
      <c r="BA24" s="2" t="s">
        <v>183</v>
      </c>
      <c r="BB24" s="2" t="s">
        <v>177</v>
      </c>
      <c r="BC24" s="2" t="s">
        <v>187</v>
      </c>
      <c r="BD24" s="2" t="s">
        <v>183</v>
      </c>
      <c r="BE24" s="2" t="s">
        <v>192</v>
      </c>
      <c r="BF24" s="2" t="s">
        <v>179</v>
      </c>
      <c r="BG24" s="2" t="s">
        <v>192</v>
      </c>
      <c r="BH24" s="2" t="s">
        <v>175</v>
      </c>
      <c r="BI24" s="2" t="s">
        <v>192</v>
      </c>
      <c r="BJ24" s="2" t="s">
        <v>192</v>
      </c>
      <c r="BK24" s="2" t="s">
        <v>192</v>
      </c>
      <c r="BL24" s="2" t="s">
        <v>177</v>
      </c>
    </row>
    <row r="25" spans="1:64" x14ac:dyDescent="0.2">
      <c r="A25" s="2" t="s">
        <v>534</v>
      </c>
      <c r="B25" s="2">
        <v>347</v>
      </c>
      <c r="C25" s="2">
        <v>147873</v>
      </c>
      <c r="D25" s="2">
        <v>1.3</v>
      </c>
      <c r="E25" s="2">
        <v>18.9847</v>
      </c>
      <c r="F25" s="2">
        <v>2.6</v>
      </c>
      <c r="G25" s="2">
        <v>0.38279000000000002</v>
      </c>
      <c r="H25" s="2">
        <v>3.5</v>
      </c>
      <c r="I25" s="2">
        <v>5.2729999999999999E-2</v>
      </c>
      <c r="J25" s="2">
        <v>2.2999999999999998</v>
      </c>
      <c r="K25" s="2">
        <v>0.66400000000000003</v>
      </c>
      <c r="L25" s="2">
        <v>331.3</v>
      </c>
      <c r="M25" s="2">
        <v>7.5</v>
      </c>
      <c r="N25" s="2">
        <v>329.1</v>
      </c>
      <c r="O25" s="2">
        <v>9.8000000000000007</v>
      </c>
      <c r="P25" s="2">
        <v>313.8</v>
      </c>
      <c r="Q25" s="2">
        <v>59.6</v>
      </c>
      <c r="R25" s="3">
        <v>331.3</v>
      </c>
      <c r="S25" s="2">
        <v>7.5</v>
      </c>
      <c r="T25" s="2">
        <v>105.6</v>
      </c>
      <c r="AS25" s="2" t="s">
        <v>366</v>
      </c>
      <c r="AT25" s="2">
        <v>682</v>
      </c>
      <c r="AU25" s="2">
        <v>130105</v>
      </c>
      <c r="AV25" s="2">
        <v>6.55</v>
      </c>
      <c r="AW25" s="2">
        <v>17.110700000000001</v>
      </c>
      <c r="AX25" s="2">
        <v>1.9</v>
      </c>
      <c r="AY25" s="2">
        <v>0.72307999999999995</v>
      </c>
      <c r="AZ25" s="2">
        <v>2.5</v>
      </c>
      <c r="BA25" s="2">
        <v>8.9774000000000007E-2</v>
      </c>
      <c r="BB25" s="2">
        <v>1.6</v>
      </c>
      <c r="BC25" s="2">
        <v>0.65500000000000003</v>
      </c>
      <c r="BD25" s="2">
        <v>554.20000000000005</v>
      </c>
      <c r="BE25" s="2">
        <v>8.6999999999999993</v>
      </c>
      <c r="BF25" s="2">
        <v>552.5</v>
      </c>
      <c r="BG25" s="2">
        <v>10.6</v>
      </c>
      <c r="BH25" s="2">
        <v>545.4</v>
      </c>
      <c r="BI25" s="2">
        <v>41.3</v>
      </c>
      <c r="BJ25" s="2">
        <v>554.20000000000005</v>
      </c>
      <c r="BK25" s="2">
        <v>8.6999999999999993</v>
      </c>
      <c r="BL25" s="2">
        <v>101.6</v>
      </c>
    </row>
    <row r="26" spans="1:64" x14ac:dyDescent="0.2">
      <c r="A26" s="2" t="s">
        <v>525</v>
      </c>
      <c r="B26" s="2">
        <v>246</v>
      </c>
      <c r="C26" s="2">
        <v>12128</v>
      </c>
      <c r="D26" s="2">
        <v>1.55</v>
      </c>
      <c r="E26" s="2">
        <v>18.922599999999999</v>
      </c>
      <c r="F26" s="2">
        <v>4.5999999999999996</v>
      </c>
      <c r="G26" s="2">
        <v>0.37274000000000002</v>
      </c>
      <c r="H26" s="2">
        <v>5.4</v>
      </c>
      <c r="I26" s="2">
        <v>5.1177E-2</v>
      </c>
      <c r="J26" s="2">
        <v>2.7</v>
      </c>
      <c r="K26" s="2">
        <v>0.50900000000000001</v>
      </c>
      <c r="L26" s="2">
        <v>321.7</v>
      </c>
      <c r="M26" s="2">
        <v>8.6</v>
      </c>
      <c r="N26" s="2">
        <v>321.7</v>
      </c>
      <c r="O26" s="2">
        <v>14.8</v>
      </c>
      <c r="P26" s="2">
        <v>321.2</v>
      </c>
      <c r="Q26" s="2">
        <v>105</v>
      </c>
      <c r="R26" s="3">
        <v>321.7</v>
      </c>
      <c r="S26" s="2">
        <v>8.6</v>
      </c>
      <c r="T26" s="2">
        <v>100.2</v>
      </c>
      <c r="AS26" s="2" t="s">
        <v>376</v>
      </c>
      <c r="AT26" s="2">
        <v>692</v>
      </c>
      <c r="AU26" s="2">
        <v>239308</v>
      </c>
      <c r="AV26" s="2">
        <v>6.32</v>
      </c>
      <c r="AW26" s="2">
        <v>16.908100000000001</v>
      </c>
      <c r="AX26" s="2">
        <v>1.8</v>
      </c>
      <c r="AY26" s="2">
        <v>0.73723000000000005</v>
      </c>
      <c r="AZ26" s="2">
        <v>3.1</v>
      </c>
      <c r="BA26" s="2">
        <v>9.0447E-2</v>
      </c>
      <c r="BB26" s="2">
        <v>2.5</v>
      </c>
      <c r="BC26" s="2">
        <v>0.81599999999999995</v>
      </c>
      <c r="BD26" s="2">
        <v>558.20000000000005</v>
      </c>
      <c r="BE26" s="2">
        <v>13.4</v>
      </c>
      <c r="BF26" s="2">
        <v>560.79999999999995</v>
      </c>
      <c r="BG26" s="2">
        <v>13.3</v>
      </c>
      <c r="BH26" s="2">
        <v>571.4</v>
      </c>
      <c r="BI26" s="2">
        <v>38.700000000000003</v>
      </c>
      <c r="BJ26" s="2">
        <v>558.20000000000005</v>
      </c>
      <c r="BK26" s="2">
        <v>13.4</v>
      </c>
      <c r="BL26" s="2">
        <v>97.7</v>
      </c>
    </row>
    <row r="27" spans="1:64" x14ac:dyDescent="0.2">
      <c r="A27" s="2" t="s">
        <v>524</v>
      </c>
      <c r="B27" s="2">
        <v>220</v>
      </c>
      <c r="C27" s="2">
        <v>14243</v>
      </c>
      <c r="D27" s="2">
        <v>2.04</v>
      </c>
      <c r="E27" s="2">
        <v>16.936900000000001</v>
      </c>
      <c r="F27" s="2">
        <v>8.1</v>
      </c>
      <c r="G27" s="2">
        <v>0.43514000000000003</v>
      </c>
      <c r="H27" s="2">
        <v>8.6999999999999993</v>
      </c>
      <c r="I27" s="2">
        <v>5.3475000000000002E-2</v>
      </c>
      <c r="J27" s="2">
        <v>3.3</v>
      </c>
      <c r="K27" s="2">
        <v>0.374</v>
      </c>
      <c r="L27" s="2">
        <v>335.8</v>
      </c>
      <c r="M27" s="2">
        <v>10.7</v>
      </c>
      <c r="N27" s="2">
        <v>366.8</v>
      </c>
      <c r="O27" s="2">
        <v>26.9</v>
      </c>
      <c r="P27" s="2">
        <v>567.70000000000005</v>
      </c>
      <c r="Q27" s="2">
        <v>176.3</v>
      </c>
      <c r="R27" s="3">
        <v>335.8</v>
      </c>
      <c r="S27" s="2">
        <v>10.7</v>
      </c>
      <c r="T27" s="2">
        <v>59.2</v>
      </c>
      <c r="AS27" s="2" t="s">
        <v>374</v>
      </c>
      <c r="AT27" s="2">
        <v>224</v>
      </c>
      <c r="AU27" s="2">
        <v>94422</v>
      </c>
      <c r="AV27" s="2">
        <v>1.73</v>
      </c>
      <c r="AW27" s="2">
        <v>13.0352</v>
      </c>
      <c r="AX27" s="2">
        <v>1.9</v>
      </c>
      <c r="AY27" s="2">
        <v>1.96753</v>
      </c>
      <c r="AZ27" s="2">
        <v>3.2</v>
      </c>
      <c r="BA27" s="2">
        <v>0.18609500000000001</v>
      </c>
      <c r="BB27" s="2">
        <v>2.6</v>
      </c>
      <c r="BC27" s="2">
        <v>0.81100000000000005</v>
      </c>
      <c r="BD27" s="2">
        <v>1100.2</v>
      </c>
      <c r="BE27" s="2">
        <v>26.4</v>
      </c>
      <c r="BF27" s="2">
        <v>1104.5</v>
      </c>
      <c r="BG27" s="2">
        <v>21.6</v>
      </c>
      <c r="BH27" s="2">
        <v>1112.9000000000001</v>
      </c>
      <c r="BI27" s="2">
        <v>37.5</v>
      </c>
      <c r="BJ27" s="2">
        <v>1112.9000000000001</v>
      </c>
      <c r="BK27" s="2">
        <v>37.5</v>
      </c>
      <c r="BL27" s="2">
        <v>98.9</v>
      </c>
    </row>
    <row r="28" spans="1:64" x14ac:dyDescent="0.2">
      <c r="A28" s="2" t="s">
        <v>523</v>
      </c>
      <c r="B28" s="2">
        <v>105</v>
      </c>
      <c r="C28" s="2">
        <v>43565</v>
      </c>
      <c r="D28" s="2">
        <v>2.14</v>
      </c>
      <c r="E28" s="2">
        <v>19.725200000000001</v>
      </c>
      <c r="F28" s="2">
        <v>3.8</v>
      </c>
      <c r="G28" s="2">
        <v>0.37564999999999998</v>
      </c>
      <c r="H28" s="2">
        <v>6.1</v>
      </c>
      <c r="I28" s="2">
        <v>5.3765E-2</v>
      </c>
      <c r="J28" s="2">
        <v>4.7</v>
      </c>
      <c r="K28" s="2">
        <v>0.77900000000000003</v>
      </c>
      <c r="L28" s="2">
        <v>337.6</v>
      </c>
      <c r="M28" s="2">
        <v>15.5</v>
      </c>
      <c r="N28" s="2">
        <v>323.8</v>
      </c>
      <c r="O28" s="2">
        <v>16.8</v>
      </c>
      <c r="P28" s="2">
        <v>226</v>
      </c>
      <c r="Q28" s="2">
        <v>87.9</v>
      </c>
      <c r="R28" s="3">
        <v>337.6</v>
      </c>
      <c r="S28" s="2">
        <v>15.5</v>
      </c>
      <c r="T28" s="2">
        <v>149.4</v>
      </c>
      <c r="AS28" s="2" t="s">
        <v>379</v>
      </c>
      <c r="AT28" s="2">
        <v>678</v>
      </c>
      <c r="AU28" s="2">
        <v>35086</v>
      </c>
      <c r="AV28" s="2">
        <v>6.41</v>
      </c>
      <c r="AW28" s="2">
        <v>17.1922</v>
      </c>
      <c r="AX28" s="2">
        <v>1.8</v>
      </c>
      <c r="AY28" s="2">
        <v>0.72450999999999999</v>
      </c>
      <c r="AZ28" s="2">
        <v>2.8</v>
      </c>
      <c r="BA28" s="2">
        <v>9.0380000000000002E-2</v>
      </c>
      <c r="BB28" s="2">
        <v>2.1</v>
      </c>
      <c r="BC28" s="2">
        <v>0.76800000000000002</v>
      </c>
      <c r="BD28" s="2">
        <v>557.79999999999995</v>
      </c>
      <c r="BE28" s="2">
        <v>11.3</v>
      </c>
      <c r="BF28" s="2">
        <v>553.29999999999995</v>
      </c>
      <c r="BG28" s="2">
        <v>11.8</v>
      </c>
      <c r="BH28" s="2">
        <v>535</v>
      </c>
      <c r="BI28" s="2">
        <v>38.700000000000003</v>
      </c>
      <c r="BJ28" s="2">
        <v>557.79999999999995</v>
      </c>
      <c r="BK28" s="2">
        <v>11.3</v>
      </c>
      <c r="BL28" s="2">
        <v>104.3</v>
      </c>
    </row>
    <row r="29" spans="1:64" x14ac:dyDescent="0.2">
      <c r="A29" s="2" t="s">
        <v>522</v>
      </c>
      <c r="B29" s="2">
        <v>810</v>
      </c>
      <c r="C29" s="2">
        <v>110318</v>
      </c>
      <c r="D29" s="2">
        <v>1.04</v>
      </c>
      <c r="E29" s="2">
        <v>18.683299999999999</v>
      </c>
      <c r="F29" s="2">
        <v>2.8</v>
      </c>
      <c r="G29" s="2">
        <v>0.39438000000000001</v>
      </c>
      <c r="H29" s="2">
        <v>3.6</v>
      </c>
      <c r="I29" s="2">
        <v>5.3464999999999999E-2</v>
      </c>
      <c r="J29" s="2">
        <v>2.2999999999999998</v>
      </c>
      <c r="K29" s="2">
        <v>0.63100000000000001</v>
      </c>
      <c r="L29" s="2">
        <v>335.8</v>
      </c>
      <c r="M29" s="2">
        <v>7.4</v>
      </c>
      <c r="N29" s="2">
        <v>337.6</v>
      </c>
      <c r="O29" s="2">
        <v>10.3</v>
      </c>
      <c r="P29" s="2">
        <v>350.1</v>
      </c>
      <c r="Q29" s="2">
        <v>63</v>
      </c>
      <c r="R29" s="3">
        <v>335.8</v>
      </c>
      <c r="S29" s="2">
        <v>7.4</v>
      </c>
      <c r="T29" s="2">
        <v>95.9</v>
      </c>
      <c r="AS29" s="2" t="s">
        <v>521</v>
      </c>
      <c r="AT29" s="2">
        <v>315</v>
      </c>
      <c r="AU29" s="2">
        <v>109211</v>
      </c>
      <c r="AV29" s="2">
        <v>2.5</v>
      </c>
      <c r="AW29" s="2">
        <v>13.2164</v>
      </c>
      <c r="AX29" s="2">
        <v>2.2000000000000002</v>
      </c>
      <c r="AY29" s="2">
        <v>1.9858899999999999</v>
      </c>
      <c r="AZ29" s="2">
        <v>3.7</v>
      </c>
      <c r="BA29" s="2">
        <v>0.190442</v>
      </c>
      <c r="BB29" s="2">
        <v>3</v>
      </c>
      <c r="BC29" s="2">
        <v>0.80800000000000005</v>
      </c>
      <c r="BD29" s="2">
        <v>1123.8</v>
      </c>
      <c r="BE29" s="2">
        <v>31.1</v>
      </c>
      <c r="BF29" s="2">
        <v>1110.7</v>
      </c>
      <c r="BG29" s="2">
        <v>25.2</v>
      </c>
      <c r="BH29" s="2">
        <v>1085.3</v>
      </c>
      <c r="BI29" s="2">
        <v>44.1</v>
      </c>
      <c r="BJ29" s="2">
        <v>1085.3</v>
      </c>
      <c r="BK29" s="2">
        <v>44.1</v>
      </c>
      <c r="BL29" s="2">
        <v>103.5</v>
      </c>
    </row>
    <row r="30" spans="1:64" x14ac:dyDescent="0.2">
      <c r="A30" s="2" t="s">
        <v>520</v>
      </c>
      <c r="B30" s="2">
        <v>281</v>
      </c>
      <c r="C30" s="2">
        <v>58293</v>
      </c>
      <c r="D30" s="2">
        <v>2.08</v>
      </c>
      <c r="E30" s="2">
        <v>18.974499999999999</v>
      </c>
      <c r="F30" s="2">
        <v>3.9</v>
      </c>
      <c r="G30" s="2">
        <v>0.39693000000000001</v>
      </c>
      <c r="H30" s="2">
        <v>4.8</v>
      </c>
      <c r="I30" s="2">
        <v>5.4649000000000003E-2</v>
      </c>
      <c r="J30" s="2">
        <v>2.8</v>
      </c>
      <c r="K30" s="2">
        <v>0.57899999999999996</v>
      </c>
      <c r="L30" s="2">
        <v>343</v>
      </c>
      <c r="M30" s="2">
        <v>9.4</v>
      </c>
      <c r="N30" s="2">
        <v>339.4</v>
      </c>
      <c r="O30" s="2">
        <v>14</v>
      </c>
      <c r="P30" s="2">
        <v>315</v>
      </c>
      <c r="Q30" s="2">
        <v>89.7</v>
      </c>
      <c r="R30" s="3">
        <v>343</v>
      </c>
      <c r="S30" s="2">
        <v>9.4</v>
      </c>
      <c r="T30" s="2">
        <v>108.9</v>
      </c>
      <c r="AS30" s="2" t="s">
        <v>519</v>
      </c>
      <c r="AT30" s="2">
        <v>715</v>
      </c>
      <c r="AU30" s="2">
        <v>141716</v>
      </c>
      <c r="AV30" s="2">
        <v>6.34</v>
      </c>
      <c r="AW30" s="2">
        <v>17.0456</v>
      </c>
      <c r="AX30" s="2">
        <v>2.1</v>
      </c>
      <c r="AY30" s="2">
        <v>0.71950999999999998</v>
      </c>
      <c r="AZ30" s="2">
        <v>2.9</v>
      </c>
      <c r="BA30" s="2">
        <v>8.899E-2</v>
      </c>
      <c r="BB30" s="2">
        <v>2.1</v>
      </c>
      <c r="BC30" s="2">
        <v>0.71099999999999997</v>
      </c>
      <c r="BD30" s="2">
        <v>549.6</v>
      </c>
      <c r="BE30" s="2">
        <v>10.9</v>
      </c>
      <c r="BF30" s="2">
        <v>550.4</v>
      </c>
      <c r="BG30" s="2">
        <v>12.4</v>
      </c>
      <c r="BH30" s="2">
        <v>553.79999999999995</v>
      </c>
      <c r="BI30" s="2">
        <v>44.8</v>
      </c>
      <c r="BJ30" s="2">
        <v>549.6</v>
      </c>
      <c r="BK30" s="2">
        <v>10.9</v>
      </c>
      <c r="BL30" s="2">
        <v>99.2</v>
      </c>
    </row>
    <row r="31" spans="1:64" x14ac:dyDescent="0.2">
      <c r="A31" s="2" t="s">
        <v>518</v>
      </c>
      <c r="B31" s="2">
        <v>170</v>
      </c>
      <c r="C31" s="2">
        <v>37112</v>
      </c>
      <c r="D31" s="2">
        <v>1.68</v>
      </c>
      <c r="E31" s="2">
        <v>18.6997</v>
      </c>
      <c r="F31" s="2">
        <v>4.7</v>
      </c>
      <c r="G31" s="2">
        <v>0.38528000000000001</v>
      </c>
      <c r="H31" s="2">
        <v>5.7</v>
      </c>
      <c r="I31" s="2">
        <v>5.2276999999999997E-2</v>
      </c>
      <c r="J31" s="2">
        <v>3.3</v>
      </c>
      <c r="K31" s="2">
        <v>0.57699999999999996</v>
      </c>
      <c r="L31" s="2">
        <v>328.5</v>
      </c>
      <c r="M31" s="2">
        <v>10.6</v>
      </c>
      <c r="N31" s="2">
        <v>330.9</v>
      </c>
      <c r="O31" s="2">
        <v>16.2</v>
      </c>
      <c r="P31" s="2">
        <v>348.1</v>
      </c>
      <c r="Q31" s="2">
        <v>105.9</v>
      </c>
      <c r="R31" s="3">
        <v>328.5</v>
      </c>
      <c r="S31" s="2">
        <v>10.6</v>
      </c>
      <c r="T31" s="2">
        <v>94.4</v>
      </c>
      <c r="AS31" s="2" t="s">
        <v>377</v>
      </c>
      <c r="AT31" s="2">
        <v>1252</v>
      </c>
      <c r="AU31" s="2">
        <v>1630216</v>
      </c>
      <c r="AV31" s="2">
        <v>2.4700000000000002</v>
      </c>
      <c r="AW31" s="2">
        <v>13.231400000000001</v>
      </c>
      <c r="AX31" s="2">
        <v>1.7</v>
      </c>
      <c r="AY31" s="2">
        <v>1.9595499999999999</v>
      </c>
      <c r="AZ31" s="2">
        <v>3</v>
      </c>
      <c r="BA31" s="2">
        <v>0.18812899999999999</v>
      </c>
      <c r="BB31" s="2">
        <v>2.6</v>
      </c>
      <c r="BC31" s="2">
        <v>0.83899999999999997</v>
      </c>
      <c r="BD31" s="2">
        <v>1111.2</v>
      </c>
      <c r="BE31" s="2">
        <v>26.1</v>
      </c>
      <c r="BF31" s="2">
        <v>1101.7</v>
      </c>
      <c r="BG31" s="2">
        <v>20.5</v>
      </c>
      <c r="BH31" s="2">
        <v>1083</v>
      </c>
      <c r="BI31" s="2">
        <v>33.200000000000003</v>
      </c>
      <c r="BJ31" s="2">
        <v>1083</v>
      </c>
      <c r="BK31" s="2">
        <v>33.200000000000003</v>
      </c>
      <c r="BL31" s="2">
        <v>102.6</v>
      </c>
    </row>
    <row r="32" spans="1:64" x14ac:dyDescent="0.2">
      <c r="A32" s="2" t="s">
        <v>517</v>
      </c>
      <c r="B32" s="2">
        <v>139</v>
      </c>
      <c r="C32" s="2">
        <v>20568</v>
      </c>
      <c r="D32" s="2">
        <v>1.66</v>
      </c>
      <c r="E32" s="2">
        <v>19.178899999999999</v>
      </c>
      <c r="F32" s="2">
        <v>4.3</v>
      </c>
      <c r="G32" s="2">
        <v>0.38185999999999998</v>
      </c>
      <c r="H32" s="2">
        <v>5.5</v>
      </c>
      <c r="I32" s="2">
        <v>5.314E-2</v>
      </c>
      <c r="J32" s="2">
        <v>3.4</v>
      </c>
      <c r="K32" s="2">
        <v>0.623</v>
      </c>
      <c r="L32" s="2">
        <v>333.8</v>
      </c>
      <c r="M32" s="2">
        <v>11.1</v>
      </c>
      <c r="N32" s="2">
        <v>328.4</v>
      </c>
      <c r="O32" s="2">
        <v>15.4</v>
      </c>
      <c r="P32" s="2">
        <v>290.5</v>
      </c>
      <c r="Q32" s="2">
        <v>98.3</v>
      </c>
      <c r="R32" s="3">
        <v>333.8</v>
      </c>
      <c r="S32" s="2">
        <v>11.1</v>
      </c>
      <c r="T32" s="2">
        <v>114.9</v>
      </c>
      <c r="AS32" s="2" t="s">
        <v>383</v>
      </c>
      <c r="AT32" s="2">
        <v>747</v>
      </c>
      <c r="AU32" s="2">
        <v>3408895</v>
      </c>
      <c r="AV32" s="2">
        <v>6.22</v>
      </c>
      <c r="AW32" s="2">
        <v>17.130299999999998</v>
      </c>
      <c r="AX32" s="2">
        <v>1.9</v>
      </c>
      <c r="AY32" s="2">
        <v>0.72902999999999996</v>
      </c>
      <c r="AZ32" s="2">
        <v>3.5</v>
      </c>
      <c r="BA32" s="2">
        <v>9.0617000000000003E-2</v>
      </c>
      <c r="BB32" s="2">
        <v>2.9</v>
      </c>
      <c r="BC32" s="2">
        <v>0.83299999999999996</v>
      </c>
      <c r="BD32" s="2">
        <v>559.20000000000005</v>
      </c>
      <c r="BE32" s="2">
        <v>15.7</v>
      </c>
      <c r="BF32" s="2">
        <v>556</v>
      </c>
      <c r="BG32" s="2">
        <v>15</v>
      </c>
      <c r="BH32" s="2">
        <v>542.9</v>
      </c>
      <c r="BI32" s="2">
        <v>42.5</v>
      </c>
      <c r="BJ32" s="2">
        <v>559.20000000000005</v>
      </c>
      <c r="BK32" s="2">
        <v>15.7</v>
      </c>
      <c r="BL32" s="2">
        <v>103</v>
      </c>
    </row>
    <row r="33" spans="1:64" x14ac:dyDescent="0.2">
      <c r="A33" s="2" t="s">
        <v>516</v>
      </c>
      <c r="B33" s="2">
        <v>278</v>
      </c>
      <c r="C33" s="2">
        <v>33389</v>
      </c>
      <c r="D33" s="2">
        <v>1.38</v>
      </c>
      <c r="E33" s="2">
        <v>18.982700000000001</v>
      </c>
      <c r="F33" s="2">
        <v>4.2</v>
      </c>
      <c r="G33" s="2">
        <v>0.38072</v>
      </c>
      <c r="H33" s="2">
        <v>4.9000000000000004</v>
      </c>
      <c r="I33" s="2">
        <v>5.2439E-2</v>
      </c>
      <c r="J33" s="2">
        <v>2.6</v>
      </c>
      <c r="K33" s="2">
        <v>0.52700000000000002</v>
      </c>
      <c r="L33" s="2">
        <v>329.5</v>
      </c>
      <c r="M33" s="2">
        <v>8.3000000000000007</v>
      </c>
      <c r="N33" s="2">
        <v>327.60000000000002</v>
      </c>
      <c r="O33" s="2">
        <v>13.8</v>
      </c>
      <c r="P33" s="2">
        <v>314</v>
      </c>
      <c r="Q33" s="2">
        <v>95.2</v>
      </c>
      <c r="R33" s="3">
        <v>329.5</v>
      </c>
      <c r="S33" s="2">
        <v>8.3000000000000007</v>
      </c>
      <c r="T33" s="2">
        <v>104.9</v>
      </c>
      <c r="AS33" s="2" t="s">
        <v>391</v>
      </c>
      <c r="AT33" s="2">
        <v>673</v>
      </c>
      <c r="AU33" s="2">
        <v>60738</v>
      </c>
      <c r="AV33" s="2">
        <v>1.35</v>
      </c>
      <c r="AW33" s="2">
        <v>17.777799999999999</v>
      </c>
      <c r="AX33" s="2">
        <v>1.8</v>
      </c>
      <c r="AY33" s="2">
        <v>0.51104000000000005</v>
      </c>
      <c r="AZ33" s="2">
        <v>3.3</v>
      </c>
      <c r="BA33" s="2">
        <v>6.5920999999999993E-2</v>
      </c>
      <c r="BB33" s="2">
        <v>2.7</v>
      </c>
      <c r="BC33" s="2">
        <v>0.83</v>
      </c>
      <c r="BD33" s="2">
        <v>411.5</v>
      </c>
      <c r="BE33" s="2">
        <v>10.9</v>
      </c>
      <c r="BF33" s="2">
        <v>419.1</v>
      </c>
      <c r="BG33" s="2">
        <v>11.3</v>
      </c>
      <c r="BH33" s="2">
        <v>461.2</v>
      </c>
      <c r="BI33" s="2">
        <v>40.799999999999997</v>
      </c>
      <c r="BJ33" s="2">
        <v>411.5</v>
      </c>
      <c r="BK33" s="2">
        <v>10.9</v>
      </c>
      <c r="BL33" s="2">
        <v>89.2</v>
      </c>
    </row>
    <row r="34" spans="1:64" x14ac:dyDescent="0.2">
      <c r="A34" s="2" t="s">
        <v>515</v>
      </c>
      <c r="B34" s="2">
        <v>159</v>
      </c>
      <c r="C34" s="2">
        <v>32729</v>
      </c>
      <c r="D34" s="2">
        <v>1.87</v>
      </c>
      <c r="E34" s="2">
        <v>18.5899</v>
      </c>
      <c r="F34" s="2">
        <v>4.0999999999999996</v>
      </c>
      <c r="G34" s="2">
        <v>0.39549000000000001</v>
      </c>
      <c r="H34" s="2">
        <v>5.4</v>
      </c>
      <c r="I34" s="2">
        <v>5.3346999999999999E-2</v>
      </c>
      <c r="J34" s="2">
        <v>3.5</v>
      </c>
      <c r="K34" s="2">
        <v>0.64700000000000002</v>
      </c>
      <c r="L34" s="2">
        <v>335</v>
      </c>
      <c r="M34" s="2">
        <v>11.4</v>
      </c>
      <c r="N34" s="2">
        <v>338.4</v>
      </c>
      <c r="O34" s="2">
        <v>15.5</v>
      </c>
      <c r="P34" s="2">
        <v>361.3</v>
      </c>
      <c r="Q34" s="2">
        <v>92.9</v>
      </c>
      <c r="R34" s="3">
        <v>335</v>
      </c>
      <c r="S34" s="2">
        <v>11.4</v>
      </c>
      <c r="T34" s="2">
        <v>92.7</v>
      </c>
      <c r="AS34" s="2" t="s">
        <v>378</v>
      </c>
      <c r="AT34" s="2">
        <v>359</v>
      </c>
      <c r="AU34" s="2">
        <v>1614166</v>
      </c>
      <c r="AV34" s="2">
        <v>1.97</v>
      </c>
      <c r="AW34" s="2">
        <v>12.9072</v>
      </c>
      <c r="AX34" s="2">
        <v>2</v>
      </c>
      <c r="AY34" s="2">
        <v>1.9967600000000001</v>
      </c>
      <c r="AZ34" s="2">
        <v>3.6</v>
      </c>
      <c r="BA34" s="2">
        <v>0.187005</v>
      </c>
      <c r="BB34" s="2">
        <v>3</v>
      </c>
      <c r="BC34" s="2">
        <v>0.83</v>
      </c>
      <c r="BD34" s="2">
        <v>1105.0999999999999</v>
      </c>
      <c r="BE34" s="2">
        <v>30.1</v>
      </c>
      <c r="BF34" s="2">
        <v>1114.4000000000001</v>
      </c>
      <c r="BG34" s="2">
        <v>24.2</v>
      </c>
      <c r="BH34" s="2">
        <v>1132.5999999999999</v>
      </c>
      <c r="BI34" s="2">
        <v>39.6</v>
      </c>
      <c r="BJ34" s="2">
        <v>1132.5999999999999</v>
      </c>
      <c r="BK34" s="2">
        <v>39.6</v>
      </c>
      <c r="BL34" s="2">
        <v>97.6</v>
      </c>
    </row>
    <row r="35" spans="1:64" x14ac:dyDescent="0.2">
      <c r="A35" s="2" t="s">
        <v>514</v>
      </c>
      <c r="B35" s="2">
        <v>223</v>
      </c>
      <c r="C35" s="2">
        <v>61186</v>
      </c>
      <c r="D35" s="2">
        <v>1.67</v>
      </c>
      <c r="E35" s="2">
        <v>19.215399999999999</v>
      </c>
      <c r="F35" s="2">
        <v>3.5</v>
      </c>
      <c r="G35" s="2">
        <v>0.38486999999999999</v>
      </c>
      <c r="H35" s="2">
        <v>5.0999999999999996</v>
      </c>
      <c r="I35" s="2">
        <v>5.3661E-2</v>
      </c>
      <c r="J35" s="2">
        <v>3.6</v>
      </c>
      <c r="K35" s="2">
        <v>0.71599999999999997</v>
      </c>
      <c r="L35" s="2">
        <v>337</v>
      </c>
      <c r="M35" s="2">
        <v>11.9</v>
      </c>
      <c r="N35" s="2">
        <v>330.6</v>
      </c>
      <c r="O35" s="2">
        <v>14.3</v>
      </c>
      <c r="P35" s="2">
        <v>286.2</v>
      </c>
      <c r="Q35" s="2">
        <v>80.599999999999994</v>
      </c>
      <c r="R35" s="3">
        <v>337</v>
      </c>
      <c r="S35" s="2">
        <v>11.9</v>
      </c>
      <c r="T35" s="2">
        <v>117.7</v>
      </c>
      <c r="AS35" s="2" t="s">
        <v>385</v>
      </c>
      <c r="AT35" s="2">
        <v>735</v>
      </c>
      <c r="AU35" s="2">
        <v>3342370</v>
      </c>
      <c r="AV35" s="2">
        <v>6.51</v>
      </c>
      <c r="AW35" s="2">
        <v>16.993600000000001</v>
      </c>
      <c r="AX35" s="2">
        <v>1.8</v>
      </c>
      <c r="AY35" s="2">
        <v>0.73218000000000005</v>
      </c>
      <c r="AZ35" s="2">
        <v>3.2</v>
      </c>
      <c r="BA35" s="2">
        <v>9.0281E-2</v>
      </c>
      <c r="BB35" s="2">
        <v>2.6</v>
      </c>
      <c r="BC35" s="2">
        <v>0.81899999999999995</v>
      </c>
      <c r="BD35" s="2">
        <v>557.20000000000005</v>
      </c>
      <c r="BE35" s="2">
        <v>13.9</v>
      </c>
      <c r="BF35" s="2">
        <v>557.79999999999995</v>
      </c>
      <c r="BG35" s="2">
        <v>13.7</v>
      </c>
      <c r="BH35" s="2">
        <v>560.4</v>
      </c>
      <c r="BI35" s="2">
        <v>39.799999999999997</v>
      </c>
      <c r="BJ35" s="2">
        <v>557.20000000000005</v>
      </c>
      <c r="BK35" s="2">
        <v>13.9</v>
      </c>
      <c r="BL35" s="2">
        <v>99.4</v>
      </c>
    </row>
    <row r="36" spans="1:64" x14ac:dyDescent="0.2">
      <c r="A36" s="2" t="s">
        <v>533</v>
      </c>
      <c r="B36" s="2">
        <v>143</v>
      </c>
      <c r="C36" s="2">
        <v>22185</v>
      </c>
      <c r="D36" s="2">
        <v>1.9</v>
      </c>
      <c r="E36" s="2">
        <v>18.9345</v>
      </c>
      <c r="F36" s="2">
        <v>5.2</v>
      </c>
      <c r="G36" s="2">
        <v>0.39721000000000001</v>
      </c>
      <c r="H36" s="2">
        <v>6.9</v>
      </c>
      <c r="I36" s="2">
        <v>5.4572000000000002E-2</v>
      </c>
      <c r="J36" s="2">
        <v>4.5</v>
      </c>
      <c r="K36" s="2">
        <v>0.65700000000000003</v>
      </c>
      <c r="L36" s="2">
        <v>342.5</v>
      </c>
      <c r="M36" s="2">
        <v>15.1</v>
      </c>
      <c r="N36" s="2">
        <v>339.6</v>
      </c>
      <c r="O36" s="2">
        <v>19.899999999999999</v>
      </c>
      <c r="P36" s="2">
        <v>319.8</v>
      </c>
      <c r="Q36" s="2">
        <v>117.9</v>
      </c>
      <c r="R36" s="3">
        <v>342.5</v>
      </c>
      <c r="S36" s="2">
        <v>15.1</v>
      </c>
      <c r="T36" s="2">
        <v>107.1</v>
      </c>
      <c r="AS36" s="2" t="s">
        <v>365</v>
      </c>
      <c r="AT36" s="2">
        <v>146</v>
      </c>
      <c r="AU36" s="2">
        <v>245011</v>
      </c>
      <c r="AV36" s="2">
        <v>2.2000000000000002</v>
      </c>
      <c r="AW36" s="2">
        <v>13.128500000000001</v>
      </c>
      <c r="AX36" s="2">
        <v>2.7</v>
      </c>
      <c r="AY36" s="2">
        <v>1.95852</v>
      </c>
      <c r="AZ36" s="2">
        <v>5</v>
      </c>
      <c r="BA36" s="2">
        <v>0.18656900000000001</v>
      </c>
      <c r="BB36" s="2">
        <v>4.3</v>
      </c>
      <c r="BC36" s="2">
        <v>0.84799999999999998</v>
      </c>
      <c r="BD36" s="2">
        <v>1102.8</v>
      </c>
      <c r="BE36" s="2">
        <v>43.4</v>
      </c>
      <c r="BF36" s="2">
        <v>1101.4000000000001</v>
      </c>
      <c r="BG36" s="2">
        <v>33.9</v>
      </c>
      <c r="BH36" s="2">
        <v>1098.5999999999999</v>
      </c>
      <c r="BI36" s="2">
        <v>53.5</v>
      </c>
      <c r="BJ36" s="2">
        <v>1098.5999999999999</v>
      </c>
      <c r="BK36" s="2">
        <v>53.5</v>
      </c>
      <c r="BL36" s="2">
        <v>100.4</v>
      </c>
    </row>
    <row r="37" spans="1:64" x14ac:dyDescent="0.2">
      <c r="A37" s="2" t="s">
        <v>513</v>
      </c>
      <c r="B37" s="2">
        <v>306</v>
      </c>
      <c r="C37" s="2">
        <v>67856</v>
      </c>
      <c r="D37" s="2">
        <v>1.31</v>
      </c>
      <c r="E37" s="2">
        <v>17.672899999999998</v>
      </c>
      <c r="F37" s="2">
        <v>5.6</v>
      </c>
      <c r="G37" s="2">
        <v>0.4098</v>
      </c>
      <c r="H37" s="2">
        <v>6.4</v>
      </c>
      <c r="I37" s="2">
        <v>5.2549999999999999E-2</v>
      </c>
      <c r="J37" s="2">
        <v>3.2</v>
      </c>
      <c r="K37" s="2">
        <v>0.495</v>
      </c>
      <c r="L37" s="2">
        <v>330.2</v>
      </c>
      <c r="M37" s="2">
        <v>10.3</v>
      </c>
      <c r="N37" s="2">
        <v>348.7</v>
      </c>
      <c r="O37" s="2">
        <v>19</v>
      </c>
      <c r="P37" s="2">
        <v>474.4</v>
      </c>
      <c r="Q37" s="2">
        <v>123.7</v>
      </c>
      <c r="R37" s="3">
        <v>330.2</v>
      </c>
      <c r="S37" s="2">
        <v>10.3</v>
      </c>
      <c r="T37" s="2">
        <v>69.599999999999994</v>
      </c>
      <c r="AS37" s="2" t="s">
        <v>387</v>
      </c>
      <c r="AT37" s="2">
        <v>697</v>
      </c>
      <c r="AU37" s="2">
        <v>27319</v>
      </c>
      <c r="AV37" s="2">
        <v>6.39</v>
      </c>
      <c r="AW37" s="2">
        <v>17.130600000000001</v>
      </c>
      <c r="AX37" s="2">
        <v>1.8</v>
      </c>
      <c r="AY37" s="2">
        <v>0.72621000000000002</v>
      </c>
      <c r="AZ37" s="2">
        <v>2.8</v>
      </c>
      <c r="BA37" s="2">
        <v>9.0267E-2</v>
      </c>
      <c r="BB37" s="2">
        <v>2.2000000000000002</v>
      </c>
      <c r="BC37" s="2">
        <v>0.77</v>
      </c>
      <c r="BD37" s="2">
        <v>557.1</v>
      </c>
      <c r="BE37" s="2">
        <v>11.6</v>
      </c>
      <c r="BF37" s="2">
        <v>554.29999999999995</v>
      </c>
      <c r="BG37" s="2">
        <v>12</v>
      </c>
      <c r="BH37" s="2">
        <v>542.9</v>
      </c>
      <c r="BI37" s="2">
        <v>39.299999999999997</v>
      </c>
      <c r="BJ37" s="2">
        <v>557.1</v>
      </c>
      <c r="BK37" s="2">
        <v>11.6</v>
      </c>
      <c r="BL37" s="2">
        <v>102.6</v>
      </c>
    </row>
    <row r="38" spans="1:64" x14ac:dyDescent="0.2">
      <c r="A38" s="2" t="s">
        <v>512</v>
      </c>
      <c r="B38" s="2">
        <v>152</v>
      </c>
      <c r="C38" s="2">
        <v>14225</v>
      </c>
      <c r="D38" s="2">
        <v>1.46</v>
      </c>
      <c r="E38" s="2">
        <v>19.1389</v>
      </c>
      <c r="F38" s="2">
        <v>6.1</v>
      </c>
      <c r="G38" s="2">
        <v>0.37137999999999999</v>
      </c>
      <c r="H38" s="2">
        <v>7.3</v>
      </c>
      <c r="I38" s="2">
        <v>5.1574000000000002E-2</v>
      </c>
      <c r="J38" s="2">
        <v>4</v>
      </c>
      <c r="K38" s="2">
        <v>0.54800000000000004</v>
      </c>
      <c r="L38" s="2">
        <v>324.2</v>
      </c>
      <c r="M38" s="2">
        <v>12.7</v>
      </c>
      <c r="N38" s="2">
        <v>320.7</v>
      </c>
      <c r="O38" s="2">
        <v>20.100000000000001</v>
      </c>
      <c r="P38" s="2">
        <v>295.3</v>
      </c>
      <c r="Q38" s="2">
        <v>139.5</v>
      </c>
      <c r="R38" s="3">
        <v>324.2</v>
      </c>
      <c r="S38" s="2">
        <v>12.7</v>
      </c>
      <c r="T38" s="2">
        <v>109.8</v>
      </c>
      <c r="AS38" s="2" t="s">
        <v>389</v>
      </c>
      <c r="AT38" s="2">
        <v>696</v>
      </c>
      <c r="AU38" s="2">
        <v>99822</v>
      </c>
      <c r="AV38" s="2">
        <v>6.49</v>
      </c>
      <c r="AW38" s="2">
        <v>16.876300000000001</v>
      </c>
      <c r="AX38" s="2">
        <v>2</v>
      </c>
      <c r="AY38" s="2">
        <v>0.72823000000000004</v>
      </c>
      <c r="AZ38" s="2">
        <v>3.6</v>
      </c>
      <c r="BA38" s="2">
        <v>8.9175000000000004E-2</v>
      </c>
      <c r="BB38" s="2">
        <v>3</v>
      </c>
      <c r="BC38" s="2">
        <v>0.82299999999999995</v>
      </c>
      <c r="BD38" s="2">
        <v>550.70000000000005</v>
      </c>
      <c r="BE38" s="2">
        <v>15.6</v>
      </c>
      <c r="BF38" s="2">
        <v>555.5</v>
      </c>
      <c r="BG38" s="2">
        <v>15.4</v>
      </c>
      <c r="BH38" s="2">
        <v>575.5</v>
      </c>
      <c r="BI38" s="2">
        <v>44.4</v>
      </c>
      <c r="BJ38" s="2">
        <v>550.70000000000005</v>
      </c>
      <c r="BK38" s="2">
        <v>15.6</v>
      </c>
      <c r="BL38" s="2">
        <v>95.7</v>
      </c>
    </row>
    <row r="39" spans="1:64" x14ac:dyDescent="0.2">
      <c r="A39" s="2" t="s">
        <v>511</v>
      </c>
      <c r="B39" s="2">
        <v>327</v>
      </c>
      <c r="C39" s="2">
        <v>33748</v>
      </c>
      <c r="D39" s="2">
        <v>1.48</v>
      </c>
      <c r="E39" s="2">
        <v>18.607199999999999</v>
      </c>
      <c r="F39" s="2">
        <v>2.9</v>
      </c>
      <c r="G39" s="2">
        <v>0.38962000000000002</v>
      </c>
      <c r="H39" s="2">
        <v>4.0999999999999996</v>
      </c>
      <c r="I39" s="2">
        <v>5.2603999999999998E-2</v>
      </c>
      <c r="J39" s="2">
        <v>3</v>
      </c>
      <c r="K39" s="2">
        <v>0.71899999999999997</v>
      </c>
      <c r="L39" s="2">
        <v>330.5</v>
      </c>
      <c r="M39" s="2">
        <v>9.6</v>
      </c>
      <c r="N39" s="2">
        <v>334.1</v>
      </c>
      <c r="O39" s="2">
        <v>11.8</v>
      </c>
      <c r="P39" s="2">
        <v>359.2</v>
      </c>
      <c r="Q39" s="2">
        <v>64.900000000000006</v>
      </c>
      <c r="R39" s="3">
        <v>330.5</v>
      </c>
      <c r="S39" s="2">
        <v>9.6</v>
      </c>
      <c r="T39" s="2">
        <v>92</v>
      </c>
      <c r="AS39" s="2" t="s">
        <v>401</v>
      </c>
      <c r="AT39" s="2">
        <v>235</v>
      </c>
      <c r="AU39" s="2">
        <v>69625</v>
      </c>
      <c r="AV39" s="2">
        <v>1.74</v>
      </c>
      <c r="AW39" s="2">
        <v>18.1952</v>
      </c>
      <c r="AX39" s="2">
        <v>3.4</v>
      </c>
      <c r="AY39" s="2">
        <v>0.49954999999999999</v>
      </c>
      <c r="AZ39" s="2">
        <v>4.7</v>
      </c>
      <c r="BA39" s="2">
        <v>6.5952999999999998E-2</v>
      </c>
      <c r="BB39" s="2">
        <v>3.3</v>
      </c>
      <c r="BC39" s="2">
        <v>0.70399999999999996</v>
      </c>
      <c r="BD39" s="2">
        <v>411.7</v>
      </c>
      <c r="BE39" s="2">
        <v>13.3</v>
      </c>
      <c r="BF39" s="2">
        <v>411.4</v>
      </c>
      <c r="BG39" s="2">
        <v>16</v>
      </c>
      <c r="BH39" s="2">
        <v>409.5</v>
      </c>
      <c r="BI39" s="2">
        <v>75</v>
      </c>
      <c r="BJ39" s="2">
        <v>411.7</v>
      </c>
      <c r="BK39" s="2">
        <v>13.3</v>
      </c>
      <c r="BL39" s="2">
        <v>100.5</v>
      </c>
    </row>
    <row r="40" spans="1:64" x14ac:dyDescent="0.2">
      <c r="A40" s="2" t="s">
        <v>510</v>
      </c>
      <c r="B40" s="2">
        <v>104</v>
      </c>
      <c r="C40" s="2">
        <v>25946</v>
      </c>
      <c r="D40" s="2">
        <v>2.4</v>
      </c>
      <c r="E40" s="2">
        <v>17.9407</v>
      </c>
      <c r="F40" s="2">
        <v>6.9</v>
      </c>
      <c r="G40" s="2">
        <v>0.40928999999999999</v>
      </c>
      <c r="H40" s="2">
        <v>7.6</v>
      </c>
      <c r="I40" s="2">
        <v>5.3280000000000001E-2</v>
      </c>
      <c r="J40" s="2">
        <v>3.3</v>
      </c>
      <c r="K40" s="2">
        <v>0.43</v>
      </c>
      <c r="L40" s="2">
        <v>334.6</v>
      </c>
      <c r="M40" s="2">
        <v>10.7</v>
      </c>
      <c r="N40" s="2">
        <v>348.4</v>
      </c>
      <c r="O40" s="2">
        <v>22.6</v>
      </c>
      <c r="P40" s="2">
        <v>441</v>
      </c>
      <c r="Q40" s="2">
        <v>153.6</v>
      </c>
      <c r="R40" s="3">
        <v>334.6</v>
      </c>
      <c r="S40" s="2">
        <v>10.7</v>
      </c>
      <c r="T40" s="2">
        <v>75.900000000000006</v>
      </c>
      <c r="AS40" s="2" t="s">
        <v>382</v>
      </c>
      <c r="AT40" s="2">
        <v>220</v>
      </c>
      <c r="AU40" s="2">
        <v>98873</v>
      </c>
      <c r="AV40" s="2">
        <v>1.68</v>
      </c>
      <c r="AW40" s="2">
        <v>13.1424</v>
      </c>
      <c r="AX40" s="2">
        <v>1.9</v>
      </c>
      <c r="AY40" s="2">
        <v>1.95692</v>
      </c>
      <c r="AZ40" s="2">
        <v>3.1</v>
      </c>
      <c r="BA40" s="2">
        <v>0.186614</v>
      </c>
      <c r="BB40" s="2">
        <v>2.5</v>
      </c>
      <c r="BC40" s="2">
        <v>0.79500000000000004</v>
      </c>
      <c r="BD40" s="2">
        <v>1103</v>
      </c>
      <c r="BE40" s="2">
        <v>25.3</v>
      </c>
      <c r="BF40" s="2">
        <v>1100.8</v>
      </c>
      <c r="BG40" s="2">
        <v>21.1</v>
      </c>
      <c r="BH40" s="2">
        <v>1096.5</v>
      </c>
      <c r="BI40" s="2">
        <v>38.200000000000003</v>
      </c>
      <c r="BJ40" s="2">
        <v>1096.5</v>
      </c>
      <c r="BK40" s="2">
        <v>38.200000000000003</v>
      </c>
      <c r="BL40" s="2">
        <v>100.6</v>
      </c>
    </row>
    <row r="41" spans="1:64" x14ac:dyDescent="0.2">
      <c r="A41" s="2" t="s">
        <v>509</v>
      </c>
      <c r="B41" s="2">
        <v>200</v>
      </c>
      <c r="C41" s="2">
        <v>21845</v>
      </c>
      <c r="D41" s="2">
        <v>1.72</v>
      </c>
      <c r="E41" s="2">
        <v>18.796099999999999</v>
      </c>
      <c r="F41" s="2">
        <v>4.4000000000000004</v>
      </c>
      <c r="G41" s="2">
        <v>0.3916</v>
      </c>
      <c r="H41" s="2">
        <v>5.6</v>
      </c>
      <c r="I41" s="2">
        <v>5.3407999999999997E-2</v>
      </c>
      <c r="J41" s="2">
        <v>3.4</v>
      </c>
      <c r="K41" s="2">
        <v>0.61399999999999999</v>
      </c>
      <c r="L41" s="2">
        <v>335.4</v>
      </c>
      <c r="M41" s="2">
        <v>11.2</v>
      </c>
      <c r="N41" s="2">
        <v>335.5</v>
      </c>
      <c r="O41" s="2">
        <v>15.9</v>
      </c>
      <c r="P41" s="2">
        <v>336.4</v>
      </c>
      <c r="Q41" s="2">
        <v>99.5</v>
      </c>
      <c r="R41" s="3">
        <v>335.4</v>
      </c>
      <c r="S41" s="2">
        <v>11.2</v>
      </c>
      <c r="T41" s="2">
        <v>99.7</v>
      </c>
      <c r="AS41" s="2" t="s">
        <v>393</v>
      </c>
      <c r="AT41" s="2">
        <v>655</v>
      </c>
      <c r="AU41" s="2">
        <v>140800</v>
      </c>
      <c r="AV41" s="2">
        <v>6.18</v>
      </c>
      <c r="AW41" s="2">
        <v>16.8856</v>
      </c>
      <c r="AX41" s="2">
        <v>2.4</v>
      </c>
      <c r="AY41" s="2">
        <v>0.73341000000000001</v>
      </c>
      <c r="AZ41" s="2">
        <v>3.5</v>
      </c>
      <c r="BA41" s="2">
        <v>8.9857999999999993E-2</v>
      </c>
      <c r="BB41" s="2">
        <v>2.6</v>
      </c>
      <c r="BC41" s="2">
        <v>0.73099999999999998</v>
      </c>
      <c r="BD41" s="2">
        <v>554.70000000000005</v>
      </c>
      <c r="BE41" s="2">
        <v>13.6</v>
      </c>
      <c r="BF41" s="2">
        <v>558.6</v>
      </c>
      <c r="BG41" s="2">
        <v>15</v>
      </c>
      <c r="BH41" s="2">
        <v>574.29999999999995</v>
      </c>
      <c r="BI41" s="2">
        <v>51.8</v>
      </c>
      <c r="BJ41" s="2">
        <v>554.70000000000005</v>
      </c>
      <c r="BK41" s="2">
        <v>13.6</v>
      </c>
      <c r="BL41" s="2">
        <v>96.6</v>
      </c>
    </row>
    <row r="42" spans="1:64" x14ac:dyDescent="0.2">
      <c r="A42" s="2" t="s">
        <v>508</v>
      </c>
      <c r="B42" s="2">
        <v>207</v>
      </c>
      <c r="C42" s="2">
        <v>14004</v>
      </c>
      <c r="D42" s="2">
        <v>1.3</v>
      </c>
      <c r="E42" s="2">
        <v>19.028400000000001</v>
      </c>
      <c r="F42" s="2">
        <v>4.2</v>
      </c>
      <c r="G42" s="2">
        <v>0.38496000000000002</v>
      </c>
      <c r="H42" s="2">
        <v>5.5</v>
      </c>
      <c r="I42" s="2">
        <v>5.3150999999999997E-2</v>
      </c>
      <c r="J42" s="2">
        <v>3.6</v>
      </c>
      <c r="K42" s="2">
        <v>0.65200000000000002</v>
      </c>
      <c r="L42" s="2">
        <v>333.8</v>
      </c>
      <c r="M42" s="2">
        <v>11.8</v>
      </c>
      <c r="N42" s="2">
        <v>330.7</v>
      </c>
      <c r="O42" s="2">
        <v>15.7</v>
      </c>
      <c r="P42" s="2">
        <v>308.5</v>
      </c>
      <c r="Q42" s="2">
        <v>95.7</v>
      </c>
      <c r="R42" s="3">
        <v>333.8</v>
      </c>
      <c r="S42" s="2">
        <v>11.8</v>
      </c>
      <c r="T42" s="2">
        <v>108.2</v>
      </c>
      <c r="AS42" s="2" t="s">
        <v>384</v>
      </c>
      <c r="AT42" s="2">
        <v>320</v>
      </c>
      <c r="AU42" s="2">
        <v>3057368</v>
      </c>
      <c r="AV42" s="2">
        <v>1.67</v>
      </c>
      <c r="AW42" s="2">
        <v>13.0722</v>
      </c>
      <c r="AX42" s="2">
        <v>1.7</v>
      </c>
      <c r="AY42" s="2">
        <v>1.99895</v>
      </c>
      <c r="AZ42" s="2">
        <v>3</v>
      </c>
      <c r="BA42" s="2">
        <v>0.18960199999999999</v>
      </c>
      <c r="BB42" s="2">
        <v>2.5</v>
      </c>
      <c r="BC42" s="2">
        <v>0.83699999999999997</v>
      </c>
      <c r="BD42" s="2">
        <v>1119.2</v>
      </c>
      <c r="BE42" s="2">
        <v>26</v>
      </c>
      <c r="BF42" s="2">
        <v>1115.2</v>
      </c>
      <c r="BG42" s="2">
        <v>20.399999999999999</v>
      </c>
      <c r="BH42" s="2">
        <v>1107.2</v>
      </c>
      <c r="BI42" s="2">
        <v>33.1</v>
      </c>
      <c r="BJ42" s="2">
        <v>1107.2</v>
      </c>
      <c r="BK42" s="2">
        <v>33.1</v>
      </c>
      <c r="BL42" s="2">
        <v>101.1</v>
      </c>
    </row>
    <row r="43" spans="1:64" x14ac:dyDescent="0.2">
      <c r="A43" s="2" t="s">
        <v>507</v>
      </c>
      <c r="B43" s="2">
        <v>152</v>
      </c>
      <c r="C43" s="2">
        <v>61932</v>
      </c>
      <c r="D43" s="2">
        <v>1.91</v>
      </c>
      <c r="E43" s="2">
        <v>18.8599</v>
      </c>
      <c r="F43" s="2">
        <v>4.3</v>
      </c>
      <c r="G43" s="2">
        <v>0.38962999999999998</v>
      </c>
      <c r="H43" s="2">
        <v>5.4</v>
      </c>
      <c r="I43" s="2">
        <v>5.3318999999999998E-2</v>
      </c>
      <c r="J43" s="2">
        <v>3.3</v>
      </c>
      <c r="K43" s="2">
        <v>0.60199999999999998</v>
      </c>
      <c r="L43" s="2">
        <v>334.9</v>
      </c>
      <c r="M43" s="2">
        <v>10.6</v>
      </c>
      <c r="N43" s="2">
        <v>334.1</v>
      </c>
      <c r="O43" s="2">
        <v>15.4</v>
      </c>
      <c r="P43" s="2">
        <v>328.7</v>
      </c>
      <c r="Q43" s="2">
        <v>98.1</v>
      </c>
      <c r="R43" s="3">
        <v>334.9</v>
      </c>
      <c r="S43" s="2">
        <v>10.6</v>
      </c>
      <c r="T43" s="2">
        <v>101.9</v>
      </c>
      <c r="AS43" s="2" t="s">
        <v>394</v>
      </c>
      <c r="AT43" s="2">
        <v>737</v>
      </c>
      <c r="AU43" s="2">
        <v>405287</v>
      </c>
      <c r="AV43" s="2">
        <v>6.49</v>
      </c>
      <c r="AW43" s="2">
        <v>16.9057</v>
      </c>
      <c r="AX43" s="2">
        <v>2.2999999999999998</v>
      </c>
      <c r="AY43" s="2">
        <v>0.73736000000000002</v>
      </c>
      <c r="AZ43" s="2">
        <v>3.6</v>
      </c>
      <c r="BA43" s="2">
        <v>9.0450000000000003E-2</v>
      </c>
      <c r="BB43" s="2">
        <v>2.7</v>
      </c>
      <c r="BC43" s="2">
        <v>0.76</v>
      </c>
      <c r="BD43" s="2">
        <v>558.20000000000005</v>
      </c>
      <c r="BE43" s="2">
        <v>14.6</v>
      </c>
      <c r="BF43" s="2">
        <v>560.9</v>
      </c>
      <c r="BG43" s="2">
        <v>15.5</v>
      </c>
      <c r="BH43" s="2">
        <v>571.70000000000005</v>
      </c>
      <c r="BI43" s="2">
        <v>51</v>
      </c>
      <c r="BJ43" s="2">
        <v>558.20000000000005</v>
      </c>
      <c r="BK43" s="2">
        <v>14.6</v>
      </c>
      <c r="BL43" s="2">
        <v>97.6</v>
      </c>
    </row>
    <row r="44" spans="1:64" x14ac:dyDescent="0.2">
      <c r="A44" s="2" t="s">
        <v>506</v>
      </c>
      <c r="B44" s="2">
        <v>342</v>
      </c>
      <c r="C44" s="2">
        <v>198559</v>
      </c>
      <c r="D44" s="2">
        <v>1.64</v>
      </c>
      <c r="E44" s="2">
        <v>18.953499999999998</v>
      </c>
      <c r="F44" s="2">
        <v>2.7</v>
      </c>
      <c r="G44" s="2">
        <v>0.39301000000000003</v>
      </c>
      <c r="H44" s="2">
        <v>3.5</v>
      </c>
      <c r="I44" s="2">
        <v>5.4049E-2</v>
      </c>
      <c r="J44" s="2">
        <v>2.2000000000000002</v>
      </c>
      <c r="K44" s="2">
        <v>0.64200000000000002</v>
      </c>
      <c r="L44" s="2">
        <v>339.3</v>
      </c>
      <c r="M44" s="2">
        <v>7.4</v>
      </c>
      <c r="N44" s="2">
        <v>336.6</v>
      </c>
      <c r="O44" s="2">
        <v>10</v>
      </c>
      <c r="P44" s="2">
        <v>317.5</v>
      </c>
      <c r="Q44" s="2">
        <v>61</v>
      </c>
      <c r="R44" s="3">
        <v>339.3</v>
      </c>
      <c r="S44" s="2">
        <v>7.4</v>
      </c>
      <c r="T44" s="2">
        <v>106.9</v>
      </c>
      <c r="AS44" s="2" t="s">
        <v>386</v>
      </c>
      <c r="AT44" s="2">
        <v>317</v>
      </c>
      <c r="AU44" s="2">
        <v>93964</v>
      </c>
      <c r="AV44" s="2">
        <v>2.42</v>
      </c>
      <c r="AW44" s="2">
        <v>13.251099999999999</v>
      </c>
      <c r="AX44" s="2">
        <v>1.8</v>
      </c>
      <c r="AY44" s="2">
        <v>1.9291199999999999</v>
      </c>
      <c r="AZ44" s="2">
        <v>2.9</v>
      </c>
      <c r="BA44" s="2">
        <v>0.18548300000000001</v>
      </c>
      <c r="BB44" s="2">
        <v>2.2000000000000002</v>
      </c>
      <c r="BC44" s="2">
        <v>0.77500000000000002</v>
      </c>
      <c r="BD44" s="2">
        <v>1096.9000000000001</v>
      </c>
      <c r="BE44" s="2">
        <v>22.7</v>
      </c>
      <c r="BF44" s="2">
        <v>1091.2</v>
      </c>
      <c r="BG44" s="2">
        <v>19.399999999999999</v>
      </c>
      <c r="BH44" s="2">
        <v>1080</v>
      </c>
      <c r="BI44" s="2">
        <v>36.700000000000003</v>
      </c>
      <c r="BJ44" s="2">
        <v>1080</v>
      </c>
      <c r="BK44" s="2">
        <v>36.700000000000003</v>
      </c>
      <c r="BL44" s="2">
        <v>101.6</v>
      </c>
    </row>
    <row r="45" spans="1:64" x14ac:dyDescent="0.2">
      <c r="A45" s="2" t="s">
        <v>505</v>
      </c>
      <c r="B45" s="2">
        <v>443</v>
      </c>
      <c r="C45" s="2">
        <v>20066</v>
      </c>
      <c r="D45" s="2">
        <v>1.1000000000000001</v>
      </c>
      <c r="E45" s="2">
        <v>18.895499999999998</v>
      </c>
      <c r="F45" s="2">
        <v>3.2</v>
      </c>
      <c r="G45" s="2">
        <v>0.38821</v>
      </c>
      <c r="H45" s="2">
        <v>4.4000000000000004</v>
      </c>
      <c r="I45" s="2">
        <v>5.3226000000000002E-2</v>
      </c>
      <c r="J45" s="2">
        <v>3.1</v>
      </c>
      <c r="K45" s="2">
        <v>0.69199999999999995</v>
      </c>
      <c r="L45" s="2">
        <v>334.3</v>
      </c>
      <c r="M45" s="2">
        <v>10</v>
      </c>
      <c r="N45" s="2">
        <v>333.1</v>
      </c>
      <c r="O45" s="2">
        <v>12.6</v>
      </c>
      <c r="P45" s="2">
        <v>324.5</v>
      </c>
      <c r="Q45" s="2">
        <v>72.900000000000006</v>
      </c>
      <c r="R45" s="3">
        <v>334.3</v>
      </c>
      <c r="S45" s="2">
        <v>10</v>
      </c>
      <c r="T45" s="2">
        <v>103</v>
      </c>
      <c r="AS45" s="2" t="s">
        <v>396</v>
      </c>
      <c r="AT45" s="2">
        <v>702</v>
      </c>
      <c r="AU45" s="2">
        <v>55313</v>
      </c>
      <c r="AV45" s="2">
        <v>6.43</v>
      </c>
      <c r="AW45" s="2">
        <v>17.0655</v>
      </c>
      <c r="AX45" s="2">
        <v>2</v>
      </c>
      <c r="AY45" s="2">
        <v>0.71838999999999997</v>
      </c>
      <c r="AZ45" s="2">
        <v>3.6</v>
      </c>
      <c r="BA45" s="2">
        <v>8.8955999999999993E-2</v>
      </c>
      <c r="BB45" s="2">
        <v>3</v>
      </c>
      <c r="BC45" s="2">
        <v>0.83399999999999996</v>
      </c>
      <c r="BD45" s="2">
        <v>549.4</v>
      </c>
      <c r="BE45" s="2">
        <v>16</v>
      </c>
      <c r="BF45" s="2">
        <v>549.70000000000005</v>
      </c>
      <c r="BG45" s="2">
        <v>15.4</v>
      </c>
      <c r="BH45" s="2">
        <v>551.20000000000005</v>
      </c>
      <c r="BI45" s="2">
        <v>43.8</v>
      </c>
      <c r="BJ45" s="2">
        <v>549.4</v>
      </c>
      <c r="BK45" s="2">
        <v>16</v>
      </c>
      <c r="BL45" s="2">
        <v>99.7</v>
      </c>
    </row>
    <row r="46" spans="1:64" x14ac:dyDescent="0.2">
      <c r="A46" s="2" t="s">
        <v>504</v>
      </c>
      <c r="B46" s="2">
        <v>292</v>
      </c>
      <c r="C46" s="2">
        <v>144911</v>
      </c>
      <c r="D46" s="2">
        <v>1.36</v>
      </c>
      <c r="E46" s="2">
        <v>19.107299999999999</v>
      </c>
      <c r="F46" s="2">
        <v>3.8</v>
      </c>
      <c r="G46" s="2">
        <v>0.38294</v>
      </c>
      <c r="H46" s="2">
        <v>4.5999999999999996</v>
      </c>
      <c r="I46" s="2">
        <v>5.3090999999999999E-2</v>
      </c>
      <c r="J46" s="2">
        <v>2.5</v>
      </c>
      <c r="K46" s="2">
        <v>0.55300000000000005</v>
      </c>
      <c r="L46" s="2">
        <v>333.5</v>
      </c>
      <c r="M46" s="2">
        <v>8.1999999999999993</v>
      </c>
      <c r="N46" s="2">
        <v>329.2</v>
      </c>
      <c r="O46" s="2">
        <v>12.9</v>
      </c>
      <c r="P46" s="2">
        <v>299.10000000000002</v>
      </c>
      <c r="Q46" s="2">
        <v>87.2</v>
      </c>
      <c r="R46" s="3">
        <v>333.5</v>
      </c>
      <c r="S46" s="2">
        <v>8.1999999999999993</v>
      </c>
      <c r="T46" s="2">
        <v>111.5</v>
      </c>
      <c r="AS46" s="2" t="s">
        <v>411</v>
      </c>
      <c r="AT46" s="2">
        <v>180</v>
      </c>
      <c r="AU46" s="2">
        <v>16550</v>
      </c>
      <c r="AV46" s="2">
        <v>1.5</v>
      </c>
      <c r="AW46" s="2">
        <v>18.558900000000001</v>
      </c>
      <c r="AX46" s="2">
        <v>4</v>
      </c>
      <c r="AY46" s="2">
        <v>0.49857000000000001</v>
      </c>
      <c r="AZ46" s="2">
        <v>5.3</v>
      </c>
      <c r="BA46" s="2">
        <v>6.7139000000000004E-2</v>
      </c>
      <c r="BB46" s="2">
        <v>3.5</v>
      </c>
      <c r="BC46" s="2">
        <v>0.66100000000000003</v>
      </c>
      <c r="BD46" s="2">
        <v>418.9</v>
      </c>
      <c r="BE46" s="2">
        <v>14.2</v>
      </c>
      <c r="BF46" s="2">
        <v>410.7</v>
      </c>
      <c r="BG46" s="2">
        <v>17.899999999999999</v>
      </c>
      <c r="BH46" s="2">
        <v>365.1</v>
      </c>
      <c r="BI46" s="2">
        <v>89.7</v>
      </c>
      <c r="BJ46" s="2">
        <v>418.9</v>
      </c>
      <c r="BK46" s="2">
        <v>14.2</v>
      </c>
      <c r="BL46" s="2">
        <v>114.7</v>
      </c>
    </row>
    <row r="47" spans="1:64" x14ac:dyDescent="0.2">
      <c r="A47" s="2" t="s">
        <v>532</v>
      </c>
      <c r="B47" s="2">
        <v>180</v>
      </c>
      <c r="C47" s="2">
        <v>88842</v>
      </c>
      <c r="D47" s="2">
        <v>1.84</v>
      </c>
      <c r="E47" s="2">
        <v>18.544</v>
      </c>
      <c r="F47" s="2">
        <v>3.6</v>
      </c>
      <c r="G47" s="2">
        <v>0.40140999999999999</v>
      </c>
      <c r="H47" s="2">
        <v>5.0999999999999996</v>
      </c>
      <c r="I47" s="2">
        <v>5.4011999999999998E-2</v>
      </c>
      <c r="J47" s="2">
        <v>3.6</v>
      </c>
      <c r="K47" s="2">
        <v>0.70899999999999996</v>
      </c>
      <c r="L47" s="2">
        <v>339.1</v>
      </c>
      <c r="M47" s="2">
        <v>11.9</v>
      </c>
      <c r="N47" s="2">
        <v>342.7</v>
      </c>
      <c r="O47" s="2">
        <v>14.8</v>
      </c>
      <c r="P47" s="2">
        <v>366.9</v>
      </c>
      <c r="Q47" s="2">
        <v>80.599999999999994</v>
      </c>
      <c r="R47" s="3">
        <v>339.1</v>
      </c>
      <c r="S47" s="2">
        <v>11.9</v>
      </c>
      <c r="T47" s="2">
        <v>92.4</v>
      </c>
      <c r="AS47" s="2" t="s">
        <v>368</v>
      </c>
      <c r="AT47" s="2">
        <v>749</v>
      </c>
      <c r="AU47" s="2">
        <v>55844</v>
      </c>
      <c r="AV47" s="2">
        <v>6.42</v>
      </c>
      <c r="AW47" s="2">
        <v>17.111599999999999</v>
      </c>
      <c r="AX47" s="2">
        <v>2.2000000000000002</v>
      </c>
      <c r="AY47" s="2">
        <v>0.72702</v>
      </c>
      <c r="AZ47" s="2">
        <v>3.2</v>
      </c>
      <c r="BA47" s="2">
        <v>9.0267E-2</v>
      </c>
      <c r="BB47" s="2">
        <v>2.4</v>
      </c>
      <c r="BC47" s="2">
        <v>0.73899999999999999</v>
      </c>
      <c r="BD47" s="2">
        <v>557.1</v>
      </c>
      <c r="BE47" s="2">
        <v>12.7</v>
      </c>
      <c r="BF47" s="2">
        <v>554.79999999999995</v>
      </c>
      <c r="BG47" s="2">
        <v>13.8</v>
      </c>
      <c r="BH47" s="2">
        <v>545.29999999999995</v>
      </c>
      <c r="BI47" s="2">
        <v>47.6</v>
      </c>
      <c r="BJ47" s="2">
        <v>557.1</v>
      </c>
      <c r="BK47" s="2">
        <v>12.7</v>
      </c>
      <c r="BL47" s="2">
        <v>102.2</v>
      </c>
    </row>
    <row r="48" spans="1:64" x14ac:dyDescent="0.2">
      <c r="A48" s="2" t="s">
        <v>503</v>
      </c>
      <c r="B48" s="2">
        <v>304</v>
      </c>
      <c r="C48" s="2">
        <v>9123</v>
      </c>
      <c r="D48" s="2">
        <v>1.65</v>
      </c>
      <c r="E48" s="2">
        <v>19.218399999999999</v>
      </c>
      <c r="F48" s="2">
        <v>3.5</v>
      </c>
      <c r="G48" s="2">
        <v>0.38018999999999997</v>
      </c>
      <c r="H48" s="2">
        <v>4.4000000000000004</v>
      </c>
      <c r="I48" s="2">
        <v>5.3016000000000001E-2</v>
      </c>
      <c r="J48" s="2">
        <v>2.6</v>
      </c>
      <c r="K48" s="2">
        <v>0.59599999999999997</v>
      </c>
      <c r="L48" s="2">
        <v>333</v>
      </c>
      <c r="M48" s="2">
        <v>8.5</v>
      </c>
      <c r="N48" s="2">
        <v>327.2</v>
      </c>
      <c r="O48" s="2">
        <v>12.3</v>
      </c>
      <c r="P48" s="2">
        <v>285.8</v>
      </c>
      <c r="Q48" s="2">
        <v>81</v>
      </c>
      <c r="R48" s="3">
        <v>333</v>
      </c>
      <c r="S48" s="2">
        <v>8.5</v>
      </c>
      <c r="T48" s="2">
        <v>116.5</v>
      </c>
      <c r="AS48" s="2" t="s">
        <v>421</v>
      </c>
      <c r="AT48" s="2">
        <v>156</v>
      </c>
      <c r="AU48" s="2">
        <v>7596</v>
      </c>
      <c r="AV48" s="2">
        <v>1.49</v>
      </c>
      <c r="AW48" s="2">
        <v>18.642499999999998</v>
      </c>
      <c r="AX48" s="2">
        <v>3.9</v>
      </c>
      <c r="AY48" s="2">
        <v>0.50109999999999999</v>
      </c>
      <c r="AZ48" s="2">
        <v>5</v>
      </c>
      <c r="BA48" s="2">
        <v>6.7783999999999997E-2</v>
      </c>
      <c r="BB48" s="2">
        <v>3</v>
      </c>
      <c r="BC48" s="2">
        <v>0.61299999999999999</v>
      </c>
      <c r="BD48" s="2">
        <v>422.8</v>
      </c>
      <c r="BE48" s="2">
        <v>12.4</v>
      </c>
      <c r="BF48" s="2">
        <v>412.4</v>
      </c>
      <c r="BG48" s="2">
        <v>16.8</v>
      </c>
      <c r="BH48" s="2">
        <v>355</v>
      </c>
      <c r="BI48" s="2">
        <v>88.4</v>
      </c>
      <c r="BJ48" s="2">
        <v>422.8</v>
      </c>
      <c r="BK48" s="2">
        <v>12.4</v>
      </c>
      <c r="BL48" s="2">
        <v>119.1</v>
      </c>
    </row>
    <row r="49" spans="1:64" x14ac:dyDescent="0.2">
      <c r="A49" s="2" t="s">
        <v>502</v>
      </c>
      <c r="B49" s="2">
        <v>247</v>
      </c>
      <c r="C49" s="2">
        <v>41957</v>
      </c>
      <c r="D49" s="2">
        <v>1.7</v>
      </c>
      <c r="E49" s="2">
        <v>18.809799999999999</v>
      </c>
      <c r="F49" s="2">
        <v>3.3</v>
      </c>
      <c r="G49" s="2">
        <v>0.38568999999999998</v>
      </c>
      <c r="H49" s="2">
        <v>4.8</v>
      </c>
      <c r="I49" s="2">
        <v>5.2639999999999999E-2</v>
      </c>
      <c r="J49" s="2">
        <v>3.4</v>
      </c>
      <c r="K49" s="2">
        <v>0.71599999999999997</v>
      </c>
      <c r="L49" s="2">
        <v>330.7</v>
      </c>
      <c r="M49" s="2">
        <v>11</v>
      </c>
      <c r="N49" s="2">
        <v>331.2</v>
      </c>
      <c r="O49" s="2">
        <v>13.4</v>
      </c>
      <c r="P49" s="2">
        <v>334.8</v>
      </c>
      <c r="Q49" s="2">
        <v>75.2</v>
      </c>
      <c r="R49" s="3">
        <v>330.7</v>
      </c>
      <c r="S49" s="2">
        <v>11</v>
      </c>
      <c r="T49" s="2">
        <v>98.8</v>
      </c>
      <c r="AS49" s="2" t="s">
        <v>423</v>
      </c>
      <c r="AT49" s="2">
        <v>167</v>
      </c>
      <c r="AU49" s="2">
        <v>158603</v>
      </c>
      <c r="AV49" s="2">
        <v>1.44</v>
      </c>
      <c r="AW49" s="2">
        <v>18.124300000000002</v>
      </c>
      <c r="AX49" s="2">
        <v>3.8</v>
      </c>
      <c r="AY49" s="2">
        <v>0.51263000000000003</v>
      </c>
      <c r="AZ49" s="2">
        <v>5.7</v>
      </c>
      <c r="BA49" s="2">
        <v>6.7416000000000004E-2</v>
      </c>
      <c r="BB49" s="2">
        <v>4.2</v>
      </c>
      <c r="BC49" s="2">
        <v>0.746</v>
      </c>
      <c r="BD49" s="2">
        <v>420.6</v>
      </c>
      <c r="BE49" s="2">
        <v>17.2</v>
      </c>
      <c r="BF49" s="2">
        <v>420.2</v>
      </c>
      <c r="BG49" s="2">
        <v>19.5</v>
      </c>
      <c r="BH49" s="2">
        <v>418.3</v>
      </c>
      <c r="BI49" s="2">
        <v>84.3</v>
      </c>
      <c r="BJ49" s="2">
        <v>420.6</v>
      </c>
      <c r="BK49" s="2">
        <v>17.2</v>
      </c>
      <c r="BL49" s="2">
        <v>100.5</v>
      </c>
    </row>
    <row r="50" spans="1:64" x14ac:dyDescent="0.2">
      <c r="A50" s="2" t="s">
        <v>501</v>
      </c>
      <c r="B50" s="2">
        <v>528</v>
      </c>
      <c r="C50" s="2">
        <v>22189</v>
      </c>
      <c r="D50" s="2">
        <v>1.44</v>
      </c>
      <c r="E50" s="2">
        <v>19.064800000000002</v>
      </c>
      <c r="F50" s="2">
        <v>3.3</v>
      </c>
      <c r="G50" s="2">
        <v>0.38130999999999998</v>
      </c>
      <c r="H50" s="2">
        <v>4.0999999999999996</v>
      </c>
      <c r="I50" s="2">
        <v>5.2748000000000003E-2</v>
      </c>
      <c r="J50" s="2">
        <v>2.4</v>
      </c>
      <c r="K50" s="2">
        <v>0.58599999999999997</v>
      </c>
      <c r="L50" s="2">
        <v>331.4</v>
      </c>
      <c r="M50" s="2">
        <v>7.7</v>
      </c>
      <c r="N50" s="2">
        <v>328</v>
      </c>
      <c r="O50" s="2">
        <v>11.4</v>
      </c>
      <c r="P50" s="2">
        <v>304.10000000000002</v>
      </c>
      <c r="Q50" s="2">
        <v>75.099999999999994</v>
      </c>
      <c r="R50" s="3">
        <v>331.4</v>
      </c>
      <c r="S50" s="2">
        <v>7.7</v>
      </c>
      <c r="T50" s="2">
        <v>109</v>
      </c>
      <c r="AS50" s="2" t="s">
        <v>398</v>
      </c>
      <c r="AT50" s="2">
        <v>717</v>
      </c>
      <c r="AU50" s="2">
        <v>110633</v>
      </c>
      <c r="AV50" s="2">
        <v>6.25</v>
      </c>
      <c r="AW50" s="2">
        <v>17.0992</v>
      </c>
      <c r="AX50" s="2">
        <v>1.9</v>
      </c>
      <c r="AY50" s="2">
        <v>0.73253000000000001</v>
      </c>
      <c r="AZ50" s="2">
        <v>2.4</v>
      </c>
      <c r="BA50" s="2">
        <v>9.0885999999999995E-2</v>
      </c>
      <c r="BB50" s="2">
        <v>1.5</v>
      </c>
      <c r="BC50" s="2">
        <v>0.60699999999999998</v>
      </c>
      <c r="BD50" s="2">
        <v>560.79999999999995</v>
      </c>
      <c r="BE50" s="2">
        <v>7.9</v>
      </c>
      <c r="BF50" s="2">
        <v>558</v>
      </c>
      <c r="BG50" s="2">
        <v>10.4</v>
      </c>
      <c r="BH50" s="2">
        <v>546.9</v>
      </c>
      <c r="BI50" s="2">
        <v>42.2</v>
      </c>
      <c r="BJ50" s="2">
        <v>560.79999999999995</v>
      </c>
      <c r="BK50" s="2">
        <v>7.9</v>
      </c>
      <c r="BL50" s="2">
        <v>102.5</v>
      </c>
    </row>
    <row r="51" spans="1:64" x14ac:dyDescent="0.2">
      <c r="A51" s="2" t="s">
        <v>500</v>
      </c>
      <c r="B51" s="2">
        <v>152</v>
      </c>
      <c r="C51" s="2">
        <v>108701</v>
      </c>
      <c r="D51" s="2">
        <v>1.86</v>
      </c>
      <c r="E51" s="2">
        <v>18.996300000000002</v>
      </c>
      <c r="F51" s="2">
        <v>4.9000000000000004</v>
      </c>
      <c r="G51" s="2">
        <v>0.39644000000000001</v>
      </c>
      <c r="H51" s="2">
        <v>6.7</v>
      </c>
      <c r="I51" s="2">
        <v>5.4642999999999997E-2</v>
      </c>
      <c r="J51" s="2">
        <v>4.5</v>
      </c>
      <c r="K51" s="2">
        <v>0.67800000000000005</v>
      </c>
      <c r="L51" s="2">
        <v>343</v>
      </c>
      <c r="M51" s="2">
        <v>15.2</v>
      </c>
      <c r="N51" s="2">
        <v>339.1</v>
      </c>
      <c r="O51" s="2">
        <v>19.3</v>
      </c>
      <c r="P51" s="2">
        <v>312.39999999999998</v>
      </c>
      <c r="Q51" s="2">
        <v>112.2</v>
      </c>
      <c r="R51" s="3">
        <v>343</v>
      </c>
      <c r="S51" s="2">
        <v>15.2</v>
      </c>
      <c r="T51" s="2">
        <v>109.8</v>
      </c>
      <c r="AS51" s="2" t="s">
        <v>400</v>
      </c>
      <c r="AT51" s="2">
        <v>638</v>
      </c>
      <c r="AU51" s="2">
        <v>90184</v>
      </c>
      <c r="AV51" s="2">
        <v>6.31</v>
      </c>
      <c r="AW51" s="2">
        <v>17.005400000000002</v>
      </c>
      <c r="AX51" s="2">
        <v>1.7</v>
      </c>
      <c r="AY51" s="2">
        <v>0.73519999999999996</v>
      </c>
      <c r="AZ51" s="2">
        <v>2.6</v>
      </c>
      <c r="BA51" s="2">
        <v>9.0717000000000006E-2</v>
      </c>
      <c r="BB51" s="2">
        <v>2</v>
      </c>
      <c r="BC51" s="2">
        <v>0.754</v>
      </c>
      <c r="BD51" s="2">
        <v>559.79999999999995</v>
      </c>
      <c r="BE51" s="2">
        <v>10.7</v>
      </c>
      <c r="BF51" s="2">
        <v>559.6</v>
      </c>
      <c r="BG51" s="2">
        <v>11.4</v>
      </c>
      <c r="BH51" s="2">
        <v>558.9</v>
      </c>
      <c r="BI51" s="2">
        <v>37.799999999999997</v>
      </c>
      <c r="BJ51" s="2">
        <v>559.79999999999995</v>
      </c>
      <c r="BK51" s="2">
        <v>10.7</v>
      </c>
      <c r="BL51" s="2">
        <v>100.2</v>
      </c>
    </row>
    <row r="52" spans="1:64" x14ac:dyDescent="0.2">
      <c r="A52" s="2" t="s">
        <v>499</v>
      </c>
      <c r="B52" s="2">
        <v>274</v>
      </c>
      <c r="C52" s="2">
        <v>276474</v>
      </c>
      <c r="D52" s="2">
        <v>1.37</v>
      </c>
      <c r="E52" s="2">
        <v>18.542400000000001</v>
      </c>
      <c r="F52" s="2">
        <v>2.9</v>
      </c>
      <c r="G52" s="2">
        <v>0.39545000000000002</v>
      </c>
      <c r="H52" s="2">
        <v>4.4000000000000004</v>
      </c>
      <c r="I52" s="2">
        <v>5.3205000000000002E-2</v>
      </c>
      <c r="J52" s="2">
        <v>3.2</v>
      </c>
      <c r="K52" s="2">
        <v>0.73699999999999999</v>
      </c>
      <c r="L52" s="2">
        <v>334.2</v>
      </c>
      <c r="M52" s="2">
        <v>10.5</v>
      </c>
      <c r="N52" s="2">
        <v>338.3</v>
      </c>
      <c r="O52" s="2">
        <v>12.6</v>
      </c>
      <c r="P52" s="2">
        <v>367.1</v>
      </c>
      <c r="Q52" s="2">
        <v>66.400000000000006</v>
      </c>
      <c r="R52" s="3">
        <v>334.2</v>
      </c>
      <c r="S52" s="2">
        <v>10.5</v>
      </c>
      <c r="T52" s="2">
        <v>91</v>
      </c>
      <c r="AS52" s="2" t="s">
        <v>390</v>
      </c>
      <c r="AT52" s="2">
        <v>292</v>
      </c>
      <c r="AU52" s="2">
        <v>54896</v>
      </c>
      <c r="AV52" s="2">
        <v>1.79</v>
      </c>
      <c r="AW52" s="2">
        <v>13.1722</v>
      </c>
      <c r="AX52" s="2">
        <v>1.7</v>
      </c>
      <c r="AY52" s="2">
        <v>1.93818</v>
      </c>
      <c r="AZ52" s="2">
        <v>3.7</v>
      </c>
      <c r="BA52" s="2">
        <v>0.18524399999999999</v>
      </c>
      <c r="BB52" s="2">
        <v>3.2</v>
      </c>
      <c r="BC52" s="2">
        <v>0.88100000000000001</v>
      </c>
      <c r="BD52" s="2">
        <v>1095.5999999999999</v>
      </c>
      <c r="BE52" s="2">
        <v>32.700000000000003</v>
      </c>
      <c r="BF52" s="2">
        <v>1094.4000000000001</v>
      </c>
      <c r="BG52" s="2">
        <v>24.7</v>
      </c>
      <c r="BH52" s="2">
        <v>1092</v>
      </c>
      <c r="BI52" s="2">
        <v>35</v>
      </c>
      <c r="BJ52" s="2">
        <v>1092</v>
      </c>
      <c r="BK52" s="2">
        <v>35</v>
      </c>
      <c r="BL52" s="2">
        <v>100.3</v>
      </c>
    </row>
    <row r="53" spans="1:64" x14ac:dyDescent="0.2">
      <c r="A53" s="2" t="s">
        <v>498</v>
      </c>
      <c r="B53" s="2">
        <v>306</v>
      </c>
      <c r="C53" s="2">
        <v>70836</v>
      </c>
      <c r="D53" s="2">
        <v>1.44</v>
      </c>
      <c r="E53" s="2">
        <v>18.793199999999999</v>
      </c>
      <c r="F53" s="2">
        <v>3.1</v>
      </c>
      <c r="G53" s="2">
        <v>0.39251999999999998</v>
      </c>
      <c r="H53" s="2">
        <v>3.6</v>
      </c>
      <c r="I53" s="2">
        <v>5.3525000000000003E-2</v>
      </c>
      <c r="J53" s="2">
        <v>1.8</v>
      </c>
      <c r="K53" s="2">
        <v>0.51500000000000001</v>
      </c>
      <c r="L53" s="2">
        <v>336.1</v>
      </c>
      <c r="M53" s="2">
        <v>6</v>
      </c>
      <c r="N53" s="2">
        <v>336.2</v>
      </c>
      <c r="O53" s="2">
        <v>10.199999999999999</v>
      </c>
      <c r="P53" s="2">
        <v>336.8</v>
      </c>
      <c r="Q53" s="2">
        <v>69.2</v>
      </c>
      <c r="R53" s="3">
        <v>336.1</v>
      </c>
      <c r="S53" s="2">
        <v>6</v>
      </c>
      <c r="T53" s="2">
        <v>99.8</v>
      </c>
      <c r="AS53" s="2" t="s">
        <v>392</v>
      </c>
      <c r="AT53" s="2">
        <v>1071</v>
      </c>
      <c r="AU53" s="2">
        <v>186137</v>
      </c>
      <c r="AV53" s="2">
        <v>2.44</v>
      </c>
      <c r="AW53" s="2">
        <v>13.0974</v>
      </c>
      <c r="AX53" s="2">
        <v>1.5</v>
      </c>
      <c r="AY53" s="2">
        <v>1.9535899999999999</v>
      </c>
      <c r="AZ53" s="2">
        <v>2.4</v>
      </c>
      <c r="BA53" s="2">
        <v>0.18565899999999999</v>
      </c>
      <c r="BB53" s="2">
        <v>1.9</v>
      </c>
      <c r="BC53" s="2">
        <v>0.77900000000000003</v>
      </c>
      <c r="BD53" s="2">
        <v>1097.8</v>
      </c>
      <c r="BE53" s="2">
        <v>19.2</v>
      </c>
      <c r="BF53" s="2">
        <v>1099.7</v>
      </c>
      <c r="BG53" s="2">
        <v>16.399999999999999</v>
      </c>
      <c r="BH53" s="2">
        <v>1103.4000000000001</v>
      </c>
      <c r="BI53" s="2">
        <v>30.7</v>
      </c>
      <c r="BJ53" s="2">
        <v>1103.4000000000001</v>
      </c>
      <c r="BK53" s="2">
        <v>30.7</v>
      </c>
      <c r="BL53" s="2">
        <v>99.5</v>
      </c>
    </row>
    <row r="54" spans="1:64" x14ac:dyDescent="0.2">
      <c r="A54" s="2" t="s">
        <v>497</v>
      </c>
      <c r="B54" s="2">
        <v>227</v>
      </c>
      <c r="C54" s="2">
        <v>23261</v>
      </c>
      <c r="D54" s="2">
        <v>1.43</v>
      </c>
      <c r="E54" s="2">
        <v>18.711099999999998</v>
      </c>
      <c r="F54" s="2">
        <v>4</v>
      </c>
      <c r="G54" s="2">
        <v>0.38861000000000001</v>
      </c>
      <c r="H54" s="2">
        <v>5.9</v>
      </c>
      <c r="I54" s="2">
        <v>5.2761000000000002E-2</v>
      </c>
      <c r="J54" s="2">
        <v>4.4000000000000004</v>
      </c>
      <c r="K54" s="2">
        <v>0.74299999999999999</v>
      </c>
      <c r="L54" s="2">
        <v>331.5</v>
      </c>
      <c r="M54" s="2">
        <v>14.3</v>
      </c>
      <c r="N54" s="2">
        <v>333.4</v>
      </c>
      <c r="O54" s="2">
        <v>16.899999999999999</v>
      </c>
      <c r="P54" s="2">
        <v>346.7</v>
      </c>
      <c r="Q54" s="2">
        <v>89.9</v>
      </c>
      <c r="R54" s="3">
        <v>331.5</v>
      </c>
      <c r="S54" s="2">
        <v>14.3</v>
      </c>
      <c r="T54" s="2">
        <v>95.6</v>
      </c>
      <c r="AS54" s="2" t="s">
        <v>496</v>
      </c>
      <c r="AT54" s="2">
        <v>269</v>
      </c>
      <c r="AU54" s="2">
        <v>174304</v>
      </c>
      <c r="AV54" s="2">
        <v>1.76</v>
      </c>
      <c r="AW54" s="2">
        <v>13.058400000000001</v>
      </c>
      <c r="AX54" s="2">
        <v>1.9</v>
      </c>
      <c r="AY54" s="2">
        <v>1.9734400000000001</v>
      </c>
      <c r="AZ54" s="2">
        <v>3.3</v>
      </c>
      <c r="BA54" s="2">
        <v>0.18698500000000001</v>
      </c>
      <c r="BB54" s="2">
        <v>2.7</v>
      </c>
      <c r="BC54" s="2">
        <v>0.82199999999999995</v>
      </c>
      <c r="BD54" s="2">
        <v>1105</v>
      </c>
      <c r="BE54" s="2">
        <v>27.6</v>
      </c>
      <c r="BF54" s="2">
        <v>1106.5</v>
      </c>
      <c r="BG54" s="2">
        <v>22.3</v>
      </c>
      <c r="BH54" s="2">
        <v>1109.3</v>
      </c>
      <c r="BI54" s="2">
        <v>37.700000000000003</v>
      </c>
      <c r="BJ54" s="2">
        <v>1109.3</v>
      </c>
      <c r="BK54" s="2">
        <v>37.700000000000003</v>
      </c>
      <c r="BL54" s="2">
        <v>99.6</v>
      </c>
    </row>
    <row r="55" spans="1:64" x14ac:dyDescent="0.2">
      <c r="A55" s="2" t="s">
        <v>495</v>
      </c>
      <c r="B55" s="2">
        <v>355</v>
      </c>
      <c r="C55" s="2">
        <v>29802</v>
      </c>
      <c r="D55" s="2">
        <v>1.2</v>
      </c>
      <c r="E55" s="2">
        <v>18.5002</v>
      </c>
      <c r="F55" s="2">
        <v>3.1</v>
      </c>
      <c r="G55" s="2">
        <v>0.38712999999999997</v>
      </c>
      <c r="H55" s="2">
        <v>4.5</v>
      </c>
      <c r="I55" s="2">
        <v>5.1966999999999999E-2</v>
      </c>
      <c r="J55" s="2">
        <v>3.3</v>
      </c>
      <c r="K55" s="2">
        <v>0.73599999999999999</v>
      </c>
      <c r="L55" s="2">
        <v>326.60000000000002</v>
      </c>
      <c r="M55" s="2">
        <v>10.6</v>
      </c>
      <c r="N55" s="2">
        <v>332.3</v>
      </c>
      <c r="O55" s="2">
        <v>12.9</v>
      </c>
      <c r="P55" s="2">
        <v>372.2</v>
      </c>
      <c r="Q55" s="2">
        <v>69.2</v>
      </c>
      <c r="R55" s="3">
        <v>326.60000000000002</v>
      </c>
      <c r="S55" s="2">
        <v>10.6</v>
      </c>
      <c r="T55" s="2">
        <v>87.7</v>
      </c>
      <c r="AS55" s="2" t="s">
        <v>395</v>
      </c>
      <c r="AT55" s="2">
        <v>147</v>
      </c>
      <c r="AU55" s="2">
        <v>28017</v>
      </c>
      <c r="AV55" s="2">
        <v>2.99</v>
      </c>
      <c r="AW55" s="2">
        <v>13.1815</v>
      </c>
      <c r="AX55" s="2">
        <v>2.4</v>
      </c>
      <c r="AY55" s="2">
        <v>1.9452700000000001</v>
      </c>
      <c r="AZ55" s="2">
        <v>4.4000000000000004</v>
      </c>
      <c r="BA55" s="2">
        <v>0.186053</v>
      </c>
      <c r="BB55" s="2">
        <v>3.7</v>
      </c>
      <c r="BC55" s="2">
        <v>0.83899999999999997</v>
      </c>
      <c r="BD55" s="2">
        <v>1100</v>
      </c>
      <c r="BE55" s="2">
        <v>37.200000000000003</v>
      </c>
      <c r="BF55" s="2">
        <v>1096.8</v>
      </c>
      <c r="BG55" s="2">
        <v>29.4</v>
      </c>
      <c r="BH55" s="2">
        <v>1090.5999999999999</v>
      </c>
      <c r="BI55" s="2">
        <v>47.9</v>
      </c>
      <c r="BJ55" s="2">
        <v>1090.5999999999999</v>
      </c>
      <c r="BK55" s="2">
        <v>47.9</v>
      </c>
      <c r="BL55" s="2">
        <v>100.9</v>
      </c>
    </row>
    <row r="56" spans="1:64" x14ac:dyDescent="0.2">
      <c r="A56" s="2" t="s">
        <v>494</v>
      </c>
      <c r="B56" s="2">
        <v>150</v>
      </c>
      <c r="C56" s="2">
        <v>405885</v>
      </c>
      <c r="D56" s="2">
        <v>1.75</v>
      </c>
      <c r="E56" s="2">
        <v>18.7746</v>
      </c>
      <c r="F56" s="2">
        <v>5</v>
      </c>
      <c r="G56" s="2">
        <v>0.40110000000000001</v>
      </c>
      <c r="H56" s="2">
        <v>6.1</v>
      </c>
      <c r="I56" s="2">
        <v>5.4641000000000002E-2</v>
      </c>
      <c r="J56" s="2">
        <v>3.5</v>
      </c>
      <c r="K56" s="2">
        <v>0.57699999999999996</v>
      </c>
      <c r="L56" s="2">
        <v>343</v>
      </c>
      <c r="M56" s="2">
        <v>11.7</v>
      </c>
      <c r="N56" s="2">
        <v>342.4</v>
      </c>
      <c r="O56" s="2">
        <v>17.7</v>
      </c>
      <c r="P56" s="2">
        <v>339</v>
      </c>
      <c r="Q56" s="2">
        <v>112.4</v>
      </c>
      <c r="R56" s="3">
        <v>343</v>
      </c>
      <c r="S56" s="2">
        <v>11.7</v>
      </c>
      <c r="T56" s="2">
        <v>101.2</v>
      </c>
    </row>
    <row r="57" spans="1:64" x14ac:dyDescent="0.2">
      <c r="A57" s="2" t="s">
        <v>493</v>
      </c>
      <c r="B57" s="2">
        <v>259</v>
      </c>
      <c r="C57" s="2">
        <v>13974</v>
      </c>
      <c r="D57" s="2">
        <v>1.79</v>
      </c>
      <c r="E57" s="2">
        <v>17.2685</v>
      </c>
      <c r="F57" s="2">
        <v>9.3000000000000007</v>
      </c>
      <c r="G57" s="2">
        <v>0.42015999999999998</v>
      </c>
      <c r="H57" s="2">
        <v>10.199999999999999</v>
      </c>
      <c r="I57" s="2">
        <v>5.2645999999999998E-2</v>
      </c>
      <c r="J57" s="2">
        <v>4.3</v>
      </c>
      <c r="K57" s="2">
        <v>0.42099999999999999</v>
      </c>
      <c r="L57" s="2">
        <v>330.7</v>
      </c>
      <c r="M57" s="2">
        <v>13.9</v>
      </c>
      <c r="N57" s="2">
        <v>356.2</v>
      </c>
      <c r="O57" s="2">
        <v>30.7</v>
      </c>
      <c r="P57" s="2">
        <v>525.4</v>
      </c>
      <c r="Q57" s="2">
        <v>203.4</v>
      </c>
      <c r="R57" s="3">
        <v>330.7</v>
      </c>
      <c r="S57" s="2">
        <v>13.9</v>
      </c>
      <c r="T57" s="2">
        <v>62.9</v>
      </c>
    </row>
    <row r="58" spans="1:64" x14ac:dyDescent="0.2">
      <c r="A58" s="2" t="s">
        <v>531</v>
      </c>
      <c r="B58" s="2">
        <v>220</v>
      </c>
      <c r="C58" s="2">
        <v>12362</v>
      </c>
      <c r="D58" s="2">
        <v>1.56</v>
      </c>
      <c r="E58" s="2">
        <v>19.4709</v>
      </c>
      <c r="F58" s="2">
        <v>5.5</v>
      </c>
      <c r="G58" s="2">
        <v>0.38507999999999998</v>
      </c>
      <c r="H58" s="2">
        <v>6.6</v>
      </c>
      <c r="I58" s="2">
        <v>5.4404000000000001E-2</v>
      </c>
      <c r="J58" s="2">
        <v>3.7</v>
      </c>
      <c r="K58" s="2">
        <v>0.55300000000000005</v>
      </c>
      <c r="L58" s="2">
        <v>341.5</v>
      </c>
      <c r="M58" s="2">
        <v>12.2</v>
      </c>
      <c r="N58" s="2">
        <v>330.8</v>
      </c>
      <c r="O58" s="2">
        <v>18.7</v>
      </c>
      <c r="P58" s="2">
        <v>256</v>
      </c>
      <c r="Q58" s="2">
        <v>127.2</v>
      </c>
      <c r="R58" s="3">
        <v>341.5</v>
      </c>
      <c r="S58" s="2">
        <v>12.2</v>
      </c>
      <c r="T58" s="2">
        <v>133.4</v>
      </c>
      <c r="AS58" s="2" t="s">
        <v>367</v>
      </c>
      <c r="AT58" s="2">
        <v>342</v>
      </c>
      <c r="AU58" s="2">
        <v>494350</v>
      </c>
      <c r="AV58" s="2">
        <v>1.74</v>
      </c>
      <c r="AW58" s="2">
        <v>13.043699999999999</v>
      </c>
      <c r="AX58" s="2">
        <v>2.2999999999999998</v>
      </c>
      <c r="AY58" s="2">
        <v>1.9842500000000001</v>
      </c>
      <c r="AZ58" s="2">
        <v>3.4</v>
      </c>
      <c r="BA58" s="2">
        <v>0.18779799999999999</v>
      </c>
      <c r="BB58" s="2">
        <v>2.5</v>
      </c>
      <c r="BC58" s="2">
        <v>0.745</v>
      </c>
      <c r="BD58" s="2">
        <v>1109.4000000000001</v>
      </c>
      <c r="BE58" s="2">
        <v>25.9</v>
      </c>
      <c r="BF58" s="2">
        <v>1110.2</v>
      </c>
      <c r="BG58" s="2">
        <v>23</v>
      </c>
      <c r="BH58" s="2">
        <v>1111.5999999999999</v>
      </c>
      <c r="BI58" s="2">
        <v>45.5</v>
      </c>
      <c r="BJ58" s="2">
        <v>1111.5999999999999</v>
      </c>
      <c r="BK58" s="2">
        <v>45.5</v>
      </c>
      <c r="BL58" s="2">
        <v>99.8</v>
      </c>
    </row>
    <row r="59" spans="1:64" x14ac:dyDescent="0.2">
      <c r="A59" s="2" t="s">
        <v>492</v>
      </c>
      <c r="B59" s="2">
        <v>196</v>
      </c>
      <c r="C59" s="2">
        <v>14067</v>
      </c>
      <c r="D59" s="2">
        <v>1.83</v>
      </c>
      <c r="E59" s="2">
        <v>18.959800000000001</v>
      </c>
      <c r="F59" s="2">
        <v>4.5</v>
      </c>
      <c r="G59" s="2">
        <v>0.38917000000000002</v>
      </c>
      <c r="H59" s="2">
        <v>5.5</v>
      </c>
      <c r="I59" s="2">
        <v>5.3539000000000003E-2</v>
      </c>
      <c r="J59" s="2">
        <v>3</v>
      </c>
      <c r="K59" s="2">
        <v>0.55500000000000005</v>
      </c>
      <c r="L59" s="2">
        <v>336.2</v>
      </c>
      <c r="M59" s="2">
        <v>9.9</v>
      </c>
      <c r="N59" s="2">
        <v>333.8</v>
      </c>
      <c r="O59" s="2">
        <v>15.5</v>
      </c>
      <c r="P59" s="2">
        <v>316.7</v>
      </c>
      <c r="Q59" s="2">
        <v>103.1</v>
      </c>
      <c r="R59" s="3">
        <v>336.2</v>
      </c>
      <c r="S59" s="2">
        <v>9.9</v>
      </c>
      <c r="T59" s="2">
        <v>106.2</v>
      </c>
    </row>
    <row r="60" spans="1:64" x14ac:dyDescent="0.2">
      <c r="A60" s="2" t="s">
        <v>491</v>
      </c>
      <c r="B60" s="2">
        <v>203</v>
      </c>
      <c r="C60" s="2">
        <v>91607</v>
      </c>
      <c r="D60" s="2">
        <v>1.25</v>
      </c>
      <c r="E60" s="2">
        <v>18.8949</v>
      </c>
      <c r="F60" s="2">
        <v>3.9</v>
      </c>
      <c r="G60" s="2">
        <v>0.39278000000000002</v>
      </c>
      <c r="H60" s="2">
        <v>5</v>
      </c>
      <c r="I60" s="2">
        <v>5.3850000000000002E-2</v>
      </c>
      <c r="J60" s="2">
        <v>3.1</v>
      </c>
      <c r="K60" s="2">
        <v>0.625</v>
      </c>
      <c r="L60" s="2">
        <v>338.1</v>
      </c>
      <c r="M60" s="2">
        <v>10.199999999999999</v>
      </c>
      <c r="N60" s="2">
        <v>336.4</v>
      </c>
      <c r="O60" s="2">
        <v>14.2</v>
      </c>
      <c r="P60" s="2">
        <v>324.5</v>
      </c>
      <c r="Q60" s="2">
        <v>87.8</v>
      </c>
      <c r="R60" s="3">
        <v>338.1</v>
      </c>
      <c r="S60" s="2">
        <v>10.199999999999999</v>
      </c>
      <c r="T60" s="2">
        <v>104.2</v>
      </c>
    </row>
    <row r="61" spans="1:64" x14ac:dyDescent="0.2">
      <c r="A61" s="2" t="s">
        <v>490</v>
      </c>
      <c r="B61" s="2">
        <v>184</v>
      </c>
      <c r="C61" s="2">
        <v>101717</v>
      </c>
      <c r="D61" s="2">
        <v>1.36</v>
      </c>
      <c r="E61" s="2">
        <v>18.869700000000002</v>
      </c>
      <c r="F61" s="2">
        <v>4.3</v>
      </c>
      <c r="G61" s="2">
        <v>0.38694000000000001</v>
      </c>
      <c r="H61" s="2">
        <v>5.8</v>
      </c>
      <c r="I61" s="2">
        <v>5.2978999999999998E-2</v>
      </c>
      <c r="J61" s="2">
        <v>3.9</v>
      </c>
      <c r="K61" s="2">
        <v>0.66900000000000004</v>
      </c>
      <c r="L61" s="2">
        <v>332.8</v>
      </c>
      <c r="M61" s="2">
        <v>12.5</v>
      </c>
      <c r="N61" s="2">
        <v>332.1</v>
      </c>
      <c r="O61" s="2">
        <v>16.3</v>
      </c>
      <c r="P61" s="2">
        <v>327.60000000000002</v>
      </c>
      <c r="Q61" s="2">
        <v>97.3</v>
      </c>
      <c r="R61" s="3">
        <v>332.8</v>
      </c>
      <c r="S61" s="2">
        <v>12.5</v>
      </c>
      <c r="T61" s="2">
        <v>101.6</v>
      </c>
    </row>
    <row r="62" spans="1:64" x14ac:dyDescent="0.2">
      <c r="A62" s="2" t="s">
        <v>489</v>
      </c>
      <c r="B62" s="2">
        <v>226</v>
      </c>
      <c r="C62" s="2">
        <v>15900</v>
      </c>
      <c r="D62" s="2">
        <v>1.84</v>
      </c>
      <c r="E62" s="2">
        <v>19.363600000000002</v>
      </c>
      <c r="F62" s="2">
        <v>5.0999999999999996</v>
      </c>
      <c r="G62" s="2">
        <v>0.38522000000000001</v>
      </c>
      <c r="H62" s="2">
        <v>6.1</v>
      </c>
      <c r="I62" s="2">
        <v>5.4123999999999999E-2</v>
      </c>
      <c r="J62" s="2">
        <v>3.3</v>
      </c>
      <c r="K62" s="2">
        <v>0.54700000000000004</v>
      </c>
      <c r="L62" s="2">
        <v>339.8</v>
      </c>
      <c r="M62" s="2">
        <v>11</v>
      </c>
      <c r="N62" s="2">
        <v>330.9</v>
      </c>
      <c r="O62" s="2">
        <v>17.2</v>
      </c>
      <c r="P62" s="2">
        <v>268.60000000000002</v>
      </c>
      <c r="Q62" s="2">
        <v>116.7</v>
      </c>
      <c r="R62" s="3">
        <v>339.8</v>
      </c>
      <c r="S62" s="2">
        <v>11</v>
      </c>
      <c r="T62" s="2">
        <v>126.5</v>
      </c>
    </row>
    <row r="63" spans="1:64" x14ac:dyDescent="0.2">
      <c r="A63" s="2" t="s">
        <v>488</v>
      </c>
      <c r="B63" s="2">
        <v>288</v>
      </c>
      <c r="C63" s="2">
        <v>9990</v>
      </c>
      <c r="D63" s="2">
        <v>1.4</v>
      </c>
      <c r="E63" s="2">
        <v>18.9514</v>
      </c>
      <c r="F63" s="2">
        <v>5.6</v>
      </c>
      <c r="G63" s="2">
        <v>0.38656000000000001</v>
      </c>
      <c r="H63" s="2">
        <v>6.4</v>
      </c>
      <c r="I63" s="2">
        <v>5.3156000000000002E-2</v>
      </c>
      <c r="J63" s="2">
        <v>3.2</v>
      </c>
      <c r="K63" s="2">
        <v>0.499</v>
      </c>
      <c r="L63" s="2">
        <v>333.9</v>
      </c>
      <c r="M63" s="2">
        <v>10.4</v>
      </c>
      <c r="N63" s="2">
        <v>331.9</v>
      </c>
      <c r="O63" s="2">
        <v>18.2</v>
      </c>
      <c r="P63" s="2">
        <v>317.7</v>
      </c>
      <c r="Q63" s="2">
        <v>126.7</v>
      </c>
      <c r="R63" s="3">
        <v>333.9</v>
      </c>
      <c r="S63" s="2">
        <v>10.4</v>
      </c>
      <c r="T63" s="2">
        <v>105.1</v>
      </c>
    </row>
    <row r="64" spans="1:64" x14ac:dyDescent="0.2">
      <c r="A64" s="2" t="s">
        <v>487</v>
      </c>
      <c r="B64" s="2">
        <v>134</v>
      </c>
      <c r="C64" s="2">
        <v>111234</v>
      </c>
      <c r="D64" s="2">
        <v>1.85</v>
      </c>
      <c r="E64" s="2">
        <v>18.670000000000002</v>
      </c>
      <c r="F64" s="2">
        <v>4.5</v>
      </c>
      <c r="G64" s="2">
        <v>0.38677</v>
      </c>
      <c r="H64" s="2">
        <v>6</v>
      </c>
      <c r="I64" s="2">
        <v>5.2395999999999998E-2</v>
      </c>
      <c r="J64" s="2">
        <v>3.9</v>
      </c>
      <c r="K64" s="2">
        <v>0.66</v>
      </c>
      <c r="L64" s="2">
        <v>329.2</v>
      </c>
      <c r="M64" s="2">
        <v>12.6</v>
      </c>
      <c r="N64" s="2">
        <v>332</v>
      </c>
      <c r="O64" s="2">
        <v>16.899999999999999</v>
      </c>
      <c r="P64" s="2">
        <v>351.6</v>
      </c>
      <c r="Q64" s="2">
        <v>101.1</v>
      </c>
      <c r="R64" s="3">
        <v>329.2</v>
      </c>
      <c r="S64" s="2">
        <v>12.6</v>
      </c>
      <c r="T64" s="2">
        <v>93.6</v>
      </c>
    </row>
    <row r="65" spans="1:64" x14ac:dyDescent="0.2">
      <c r="A65" s="2" t="s">
        <v>486</v>
      </c>
      <c r="B65" s="2">
        <v>261</v>
      </c>
      <c r="C65" s="2">
        <v>30927</v>
      </c>
      <c r="D65" s="2">
        <v>1.46</v>
      </c>
      <c r="E65" s="2">
        <v>19.037700000000001</v>
      </c>
      <c r="F65" s="2">
        <v>3.8</v>
      </c>
      <c r="G65" s="2">
        <v>0.37647000000000003</v>
      </c>
      <c r="H65" s="2">
        <v>4.5</v>
      </c>
      <c r="I65" s="2">
        <v>5.2003000000000001E-2</v>
      </c>
      <c r="J65" s="2">
        <v>2.2999999999999998</v>
      </c>
      <c r="K65" s="2">
        <v>0.51900000000000002</v>
      </c>
      <c r="L65" s="2">
        <v>326.8</v>
      </c>
      <c r="M65" s="2">
        <v>7.4</v>
      </c>
      <c r="N65" s="2">
        <v>324.39999999999998</v>
      </c>
      <c r="O65" s="2">
        <v>12.4</v>
      </c>
      <c r="P65" s="2">
        <v>307.39999999999998</v>
      </c>
      <c r="Q65" s="2">
        <v>86.9</v>
      </c>
      <c r="R65" s="3">
        <v>326.8</v>
      </c>
      <c r="S65" s="2">
        <v>7.4</v>
      </c>
      <c r="T65" s="2">
        <v>106.3</v>
      </c>
    </row>
    <row r="66" spans="1:64" x14ac:dyDescent="0.2">
      <c r="A66" s="2" t="s">
        <v>485</v>
      </c>
      <c r="B66" s="2">
        <v>364</v>
      </c>
      <c r="C66" s="2">
        <v>82896</v>
      </c>
      <c r="D66" s="2">
        <v>1.25</v>
      </c>
      <c r="E66" s="2">
        <v>18.468800000000002</v>
      </c>
      <c r="F66" s="2">
        <v>3.1</v>
      </c>
      <c r="G66" s="2">
        <v>0.40378999999999998</v>
      </c>
      <c r="H66" s="2">
        <v>4.2</v>
      </c>
      <c r="I66" s="2">
        <v>5.4112E-2</v>
      </c>
      <c r="J66" s="2">
        <v>2.9</v>
      </c>
      <c r="K66" s="2">
        <v>0.68400000000000005</v>
      </c>
      <c r="L66" s="2">
        <v>339.7</v>
      </c>
      <c r="M66" s="2">
        <v>9.5</v>
      </c>
      <c r="N66" s="2">
        <v>344.4</v>
      </c>
      <c r="O66" s="2">
        <v>12.3</v>
      </c>
      <c r="P66" s="2">
        <v>376.1</v>
      </c>
      <c r="Q66" s="2">
        <v>69.099999999999994</v>
      </c>
      <c r="R66" s="3">
        <v>339.7</v>
      </c>
      <c r="S66" s="2">
        <v>9.5</v>
      </c>
      <c r="T66" s="2">
        <v>90.3</v>
      </c>
    </row>
    <row r="67" spans="1:64" x14ac:dyDescent="0.2">
      <c r="A67" s="2" t="s">
        <v>484</v>
      </c>
      <c r="B67" s="2">
        <v>180</v>
      </c>
      <c r="C67" s="2">
        <v>1500</v>
      </c>
      <c r="D67" s="2">
        <v>1.79</v>
      </c>
      <c r="E67" s="2">
        <v>22.9453</v>
      </c>
      <c r="F67" s="2">
        <v>25</v>
      </c>
      <c r="G67" s="2">
        <v>0.31211</v>
      </c>
      <c r="H67" s="2">
        <v>25.3</v>
      </c>
      <c r="I67" s="2">
        <v>5.1964000000000003E-2</v>
      </c>
      <c r="J67" s="2">
        <v>4</v>
      </c>
      <c r="K67" s="2">
        <v>0.157</v>
      </c>
      <c r="L67" s="2">
        <v>326.60000000000002</v>
      </c>
      <c r="M67" s="2">
        <v>12.7</v>
      </c>
      <c r="N67" s="2">
        <v>275.8</v>
      </c>
      <c r="O67" s="2">
        <v>61.1</v>
      </c>
      <c r="P67" s="2">
        <v>135.30000000000001</v>
      </c>
      <c r="Q67" s="2">
        <v>620.1</v>
      </c>
      <c r="R67" s="3">
        <v>326.60000000000002</v>
      </c>
      <c r="S67" s="2">
        <v>12.7</v>
      </c>
      <c r="T67" s="2">
        <v>241.4</v>
      </c>
    </row>
    <row r="68" spans="1:64" x14ac:dyDescent="0.2">
      <c r="A68" s="2" t="s">
        <v>483</v>
      </c>
      <c r="B68" s="2">
        <v>93</v>
      </c>
      <c r="C68" s="2">
        <v>6807</v>
      </c>
      <c r="D68" s="2">
        <v>2.04</v>
      </c>
      <c r="E68" s="2">
        <v>16.9557</v>
      </c>
      <c r="F68" s="2">
        <v>7.7</v>
      </c>
      <c r="G68" s="2">
        <v>0.71325000000000005</v>
      </c>
      <c r="H68" s="2">
        <v>8.9</v>
      </c>
      <c r="I68" s="2">
        <v>8.7750999999999996E-2</v>
      </c>
      <c r="J68" s="2">
        <v>4.4000000000000004</v>
      </c>
      <c r="K68" s="2">
        <v>0.49199999999999999</v>
      </c>
      <c r="L68" s="2">
        <v>542.20000000000005</v>
      </c>
      <c r="M68" s="2">
        <v>22.7</v>
      </c>
      <c r="N68" s="2">
        <v>546.70000000000005</v>
      </c>
      <c r="O68" s="2">
        <v>37.5</v>
      </c>
      <c r="P68" s="2">
        <v>565.29999999999995</v>
      </c>
      <c r="Q68" s="2">
        <v>168.3</v>
      </c>
      <c r="R68" s="3">
        <v>542.20000000000005</v>
      </c>
      <c r="S68" s="2">
        <v>22.7</v>
      </c>
      <c r="T68" s="2">
        <v>95.9</v>
      </c>
    </row>
    <row r="69" spans="1:64" x14ac:dyDescent="0.2">
      <c r="A69" s="2" t="s">
        <v>530</v>
      </c>
      <c r="B69" s="2">
        <v>487</v>
      </c>
      <c r="C69" s="2">
        <v>46999</v>
      </c>
      <c r="D69" s="2">
        <v>1.2</v>
      </c>
      <c r="E69" s="2">
        <v>18.691800000000001</v>
      </c>
      <c r="F69" s="2">
        <v>3.2</v>
      </c>
      <c r="G69" s="2">
        <v>0.38822000000000001</v>
      </c>
      <c r="H69" s="2">
        <v>3.8</v>
      </c>
      <c r="I69" s="2">
        <v>5.2652999999999998E-2</v>
      </c>
      <c r="J69" s="2">
        <v>2.1</v>
      </c>
      <c r="K69" s="2">
        <v>0.54400000000000004</v>
      </c>
      <c r="L69" s="2">
        <v>330.8</v>
      </c>
      <c r="M69" s="2">
        <v>6.6</v>
      </c>
      <c r="N69" s="2">
        <v>333.1</v>
      </c>
      <c r="O69" s="2">
        <v>10.8</v>
      </c>
      <c r="P69" s="2">
        <v>349</v>
      </c>
      <c r="Q69" s="2">
        <v>71.900000000000006</v>
      </c>
      <c r="R69" s="3">
        <v>330.8</v>
      </c>
      <c r="S69" s="2">
        <v>6.6</v>
      </c>
      <c r="T69" s="2">
        <v>94.8</v>
      </c>
      <c r="AS69" s="2" t="s">
        <v>373</v>
      </c>
      <c r="AT69" s="2">
        <v>771</v>
      </c>
      <c r="AU69" s="2">
        <v>54972</v>
      </c>
      <c r="AV69" s="2">
        <v>1.47</v>
      </c>
      <c r="AW69" s="2">
        <v>18.199100000000001</v>
      </c>
      <c r="AX69" s="2">
        <v>2.1</v>
      </c>
      <c r="AY69" s="2">
        <v>0.51717999999999997</v>
      </c>
      <c r="AZ69" s="2">
        <v>3.9</v>
      </c>
      <c r="BA69" s="2">
        <v>6.8294999999999995E-2</v>
      </c>
      <c r="BB69" s="2">
        <v>3.3</v>
      </c>
      <c r="BC69" s="2">
        <v>0.84199999999999997</v>
      </c>
      <c r="BD69" s="2">
        <v>425.9</v>
      </c>
      <c r="BE69" s="2">
        <v>13.7</v>
      </c>
      <c r="BF69" s="2">
        <v>423.3</v>
      </c>
      <c r="BG69" s="2">
        <v>13.6</v>
      </c>
      <c r="BH69" s="2">
        <v>409.1</v>
      </c>
      <c r="BI69" s="2">
        <v>47.6</v>
      </c>
      <c r="BJ69" s="2">
        <v>425.9</v>
      </c>
      <c r="BK69" s="2">
        <v>13.7</v>
      </c>
      <c r="BL69" s="2">
        <v>104.1</v>
      </c>
    </row>
    <row r="70" spans="1:64" x14ac:dyDescent="0.2">
      <c r="A70" s="2" t="s">
        <v>529</v>
      </c>
      <c r="B70" s="2">
        <v>139</v>
      </c>
      <c r="C70" s="2">
        <v>6174</v>
      </c>
      <c r="D70" s="2">
        <v>1.69</v>
      </c>
      <c r="E70" s="2">
        <v>19.584099999999999</v>
      </c>
      <c r="F70" s="2">
        <v>8.3000000000000007</v>
      </c>
      <c r="G70" s="2">
        <v>0.37581999999999999</v>
      </c>
      <c r="H70" s="2">
        <v>8.6999999999999993</v>
      </c>
      <c r="I70" s="2">
        <v>5.3404E-2</v>
      </c>
      <c r="J70" s="2">
        <v>2.8</v>
      </c>
      <c r="K70" s="2">
        <v>0.317</v>
      </c>
      <c r="L70" s="2">
        <v>335.4</v>
      </c>
      <c r="M70" s="2">
        <v>9.1</v>
      </c>
      <c r="N70" s="2">
        <v>324</v>
      </c>
      <c r="O70" s="2">
        <v>24.2</v>
      </c>
      <c r="P70" s="2">
        <v>242.6</v>
      </c>
      <c r="Q70" s="2">
        <v>191.1</v>
      </c>
      <c r="R70" s="3">
        <v>335.4</v>
      </c>
      <c r="S70" s="2">
        <v>9.1</v>
      </c>
      <c r="T70" s="2">
        <v>138.30000000000001</v>
      </c>
      <c r="AS70" s="2" t="s">
        <v>369</v>
      </c>
      <c r="AT70" s="2">
        <v>196</v>
      </c>
      <c r="AU70" s="2">
        <v>57737</v>
      </c>
      <c r="AV70" s="2">
        <v>1.86</v>
      </c>
      <c r="AW70" s="2">
        <v>12.993</v>
      </c>
      <c r="AX70" s="2">
        <v>2.4</v>
      </c>
      <c r="AY70" s="2">
        <v>1.98793</v>
      </c>
      <c r="AZ70" s="2">
        <v>4</v>
      </c>
      <c r="BA70" s="2">
        <v>0.187415</v>
      </c>
      <c r="BB70" s="2">
        <v>3.2</v>
      </c>
      <c r="BC70" s="2">
        <v>0.80100000000000005</v>
      </c>
      <c r="BD70" s="2">
        <v>1107.4000000000001</v>
      </c>
      <c r="BE70" s="2">
        <v>32.9</v>
      </c>
      <c r="BF70" s="2">
        <v>1111.4000000000001</v>
      </c>
      <c r="BG70" s="2">
        <v>27.3</v>
      </c>
      <c r="BH70" s="2">
        <v>1119.4000000000001</v>
      </c>
      <c r="BI70" s="2">
        <v>48.4</v>
      </c>
      <c r="BJ70" s="2">
        <v>1119.4000000000001</v>
      </c>
      <c r="BK70" s="2">
        <v>48.4</v>
      </c>
      <c r="BL70" s="2">
        <v>98.9</v>
      </c>
    </row>
    <row r="71" spans="1:64" x14ac:dyDescent="0.2">
      <c r="A71" s="2" t="s">
        <v>528</v>
      </c>
      <c r="B71" s="2">
        <v>209</v>
      </c>
      <c r="C71" s="2">
        <v>24924</v>
      </c>
      <c r="D71" s="2">
        <v>1.6</v>
      </c>
      <c r="E71" s="2">
        <v>18.9604</v>
      </c>
      <c r="F71" s="2">
        <v>4.3</v>
      </c>
      <c r="G71" s="2">
        <v>0.38118999999999997</v>
      </c>
      <c r="H71" s="2">
        <v>5.3</v>
      </c>
      <c r="I71" s="2">
        <v>5.2442000000000003E-2</v>
      </c>
      <c r="J71" s="2">
        <v>3</v>
      </c>
      <c r="K71" s="2">
        <v>0.56799999999999995</v>
      </c>
      <c r="L71" s="2">
        <v>329.5</v>
      </c>
      <c r="M71" s="2">
        <v>9.6</v>
      </c>
      <c r="N71" s="2">
        <v>327.9</v>
      </c>
      <c r="O71" s="2">
        <v>14.8</v>
      </c>
      <c r="P71" s="2">
        <v>316.7</v>
      </c>
      <c r="Q71" s="2">
        <v>98.7</v>
      </c>
      <c r="R71" s="3">
        <v>329.5</v>
      </c>
      <c r="S71" s="2">
        <v>9.6</v>
      </c>
      <c r="T71" s="2">
        <v>104</v>
      </c>
      <c r="AS71" s="2" t="s">
        <v>372</v>
      </c>
      <c r="AT71" s="2">
        <v>685</v>
      </c>
      <c r="AU71" s="2">
        <v>134318</v>
      </c>
      <c r="AV71" s="2">
        <v>6.35</v>
      </c>
      <c r="AW71" s="2">
        <v>17.1312</v>
      </c>
      <c r="AX71" s="2">
        <v>1.9</v>
      </c>
      <c r="AY71" s="2">
        <v>0.71918000000000004</v>
      </c>
      <c r="AZ71" s="2">
        <v>2.7</v>
      </c>
      <c r="BA71" s="2">
        <v>8.9397000000000004E-2</v>
      </c>
      <c r="BB71" s="2">
        <v>2</v>
      </c>
      <c r="BC71" s="2">
        <v>0.73499999999999999</v>
      </c>
      <c r="BD71" s="2">
        <v>552</v>
      </c>
      <c r="BE71" s="2">
        <v>10.7</v>
      </c>
      <c r="BF71" s="2">
        <v>550.20000000000005</v>
      </c>
      <c r="BG71" s="2">
        <v>11.7</v>
      </c>
      <c r="BH71" s="2">
        <v>542.79999999999995</v>
      </c>
      <c r="BI71" s="2">
        <v>40.700000000000003</v>
      </c>
      <c r="BJ71" s="2">
        <v>552</v>
      </c>
      <c r="BK71" s="2">
        <v>10.7</v>
      </c>
      <c r="BL71" s="2">
        <v>101.7</v>
      </c>
    </row>
    <row r="72" spans="1:64" x14ac:dyDescent="0.2">
      <c r="A72" s="2" t="s">
        <v>527</v>
      </c>
      <c r="B72" s="2">
        <v>129</v>
      </c>
      <c r="C72" s="2">
        <v>11103</v>
      </c>
      <c r="D72" s="2">
        <v>1.59</v>
      </c>
      <c r="E72" s="2">
        <v>19.311900000000001</v>
      </c>
      <c r="F72" s="2">
        <v>6.5</v>
      </c>
      <c r="G72" s="2">
        <v>0.37431999999999999</v>
      </c>
      <c r="H72" s="2">
        <v>7.1</v>
      </c>
      <c r="I72" s="2">
        <v>5.2451999999999999E-2</v>
      </c>
      <c r="J72" s="2">
        <v>3</v>
      </c>
      <c r="K72" s="2">
        <v>0.41699999999999998</v>
      </c>
      <c r="L72" s="2">
        <v>329.6</v>
      </c>
      <c r="M72" s="2">
        <v>9.5</v>
      </c>
      <c r="N72" s="2">
        <v>322.89999999999998</v>
      </c>
      <c r="O72" s="2">
        <v>19.7</v>
      </c>
      <c r="P72" s="2">
        <v>274.7</v>
      </c>
      <c r="Q72" s="2">
        <v>148.30000000000001</v>
      </c>
      <c r="R72" s="3">
        <v>329.6</v>
      </c>
      <c r="S72" s="2">
        <v>9.5</v>
      </c>
      <c r="T72" s="2">
        <v>120</v>
      </c>
      <c r="AS72" s="2" t="s">
        <v>371</v>
      </c>
      <c r="AT72" s="2">
        <v>162</v>
      </c>
      <c r="AU72" s="2">
        <v>1517445</v>
      </c>
      <c r="AV72" s="2">
        <v>2.15</v>
      </c>
      <c r="AW72" s="2">
        <v>13.005100000000001</v>
      </c>
      <c r="AX72" s="2">
        <v>1.9</v>
      </c>
      <c r="AY72" s="2">
        <v>1.95669</v>
      </c>
      <c r="AZ72" s="2">
        <v>4</v>
      </c>
      <c r="BA72" s="2">
        <v>0.184642</v>
      </c>
      <c r="BB72" s="2">
        <v>3.5</v>
      </c>
      <c r="BC72" s="2">
        <v>0.88100000000000001</v>
      </c>
      <c r="BD72" s="2">
        <v>1092.3</v>
      </c>
      <c r="BE72" s="2">
        <v>35.5</v>
      </c>
      <c r="BF72" s="2">
        <v>1100.7</v>
      </c>
      <c r="BG72" s="2">
        <v>26.9</v>
      </c>
      <c r="BH72" s="2">
        <v>1117.5</v>
      </c>
      <c r="BI72" s="2">
        <v>37.799999999999997</v>
      </c>
      <c r="BJ72" s="2">
        <v>1117.5</v>
      </c>
      <c r="BK72" s="2">
        <v>37.799999999999997</v>
      </c>
      <c r="BL72" s="2">
        <v>97.7</v>
      </c>
    </row>
    <row r="73" spans="1:64" x14ac:dyDescent="0.2">
      <c r="A73" s="2" t="s">
        <v>526</v>
      </c>
      <c r="B73" s="2">
        <v>433</v>
      </c>
      <c r="C73" s="2">
        <v>36877</v>
      </c>
      <c r="D73" s="2">
        <v>1.83</v>
      </c>
      <c r="E73" s="2">
        <v>18.8062</v>
      </c>
      <c r="F73" s="2">
        <v>3.2</v>
      </c>
      <c r="G73" s="2">
        <v>0.39024999999999999</v>
      </c>
      <c r="H73" s="2">
        <v>4.0999999999999996</v>
      </c>
      <c r="I73" s="2">
        <v>5.3252000000000001E-2</v>
      </c>
      <c r="J73" s="2">
        <v>2.5</v>
      </c>
      <c r="K73" s="2">
        <v>0.61799999999999999</v>
      </c>
      <c r="L73" s="2">
        <v>334.5</v>
      </c>
      <c r="M73" s="2">
        <v>8.1999999999999993</v>
      </c>
      <c r="N73" s="2">
        <v>334.5</v>
      </c>
      <c r="O73" s="2">
        <v>11.6</v>
      </c>
      <c r="P73" s="2">
        <v>335.2</v>
      </c>
      <c r="Q73" s="2">
        <v>72.400000000000006</v>
      </c>
      <c r="R73" s="3">
        <v>334.5</v>
      </c>
      <c r="S73" s="2">
        <v>8.1999999999999993</v>
      </c>
      <c r="T73" s="2">
        <v>99.8</v>
      </c>
      <c r="AS73" s="2" t="s">
        <v>375</v>
      </c>
      <c r="AT73" s="2">
        <v>706</v>
      </c>
      <c r="AU73" s="2">
        <v>52295</v>
      </c>
      <c r="AV73" s="2">
        <v>6.47</v>
      </c>
      <c r="AW73" s="2">
        <v>16.912500000000001</v>
      </c>
      <c r="AX73" s="2">
        <v>2</v>
      </c>
      <c r="AY73" s="2">
        <v>0.73226000000000002</v>
      </c>
      <c r="AZ73" s="2">
        <v>3.2</v>
      </c>
      <c r="BA73" s="2">
        <v>8.9859999999999995E-2</v>
      </c>
      <c r="BB73" s="2">
        <v>2.5</v>
      </c>
      <c r="BC73" s="2">
        <v>0.78400000000000003</v>
      </c>
      <c r="BD73" s="2">
        <v>554.70000000000005</v>
      </c>
      <c r="BE73" s="2">
        <v>13.4</v>
      </c>
      <c r="BF73" s="2">
        <v>557.9</v>
      </c>
      <c r="BG73" s="2">
        <v>13.8</v>
      </c>
      <c r="BH73" s="2">
        <v>570.9</v>
      </c>
      <c r="BI73" s="2">
        <v>43.4</v>
      </c>
      <c r="BJ73" s="2">
        <v>554.70000000000005</v>
      </c>
      <c r="BK73" s="2">
        <v>13.4</v>
      </c>
      <c r="BL73" s="2">
        <v>97.2</v>
      </c>
    </row>
    <row r="74" spans="1:64" x14ac:dyDescent="0.2">
      <c r="A74" s="2" t="s">
        <v>34</v>
      </c>
      <c r="B74" s="2">
        <v>851</v>
      </c>
      <c r="C74" s="2">
        <v>92032</v>
      </c>
      <c r="D74" s="2">
        <v>8.43</v>
      </c>
      <c r="E74" s="2">
        <v>18.811399999999999</v>
      </c>
      <c r="F74" s="2">
        <v>2.2000000000000002</v>
      </c>
      <c r="G74" s="2">
        <v>0.39571000000000001</v>
      </c>
      <c r="H74" s="2">
        <v>3</v>
      </c>
      <c r="I74" s="2">
        <v>5.4011999999999998E-2</v>
      </c>
      <c r="J74" s="2">
        <v>2</v>
      </c>
      <c r="K74" s="2">
        <v>0.67200000000000004</v>
      </c>
      <c r="L74" s="2">
        <v>339.1</v>
      </c>
      <c r="M74" s="2">
        <v>6.7</v>
      </c>
      <c r="N74" s="2">
        <v>338.5</v>
      </c>
      <c r="O74" s="2">
        <v>8.6999999999999993</v>
      </c>
      <c r="P74" s="2">
        <v>334.6</v>
      </c>
      <c r="Q74" s="2">
        <v>50.6</v>
      </c>
      <c r="R74" s="3">
        <v>339.1</v>
      </c>
      <c r="S74" s="2">
        <v>6.7</v>
      </c>
      <c r="T74" s="2">
        <v>101.3</v>
      </c>
      <c r="AS74" s="2" t="s">
        <v>370</v>
      </c>
      <c r="AT74" s="2">
        <v>765</v>
      </c>
      <c r="AU74" s="2">
        <v>105297</v>
      </c>
      <c r="AV74" s="2">
        <v>6.27</v>
      </c>
      <c r="AW74" s="2">
        <v>16.9345</v>
      </c>
      <c r="AX74" s="2">
        <v>1.9</v>
      </c>
      <c r="AY74" s="2">
        <v>0.73372999999999999</v>
      </c>
      <c r="AZ74" s="2">
        <v>3.2</v>
      </c>
      <c r="BA74" s="2">
        <v>9.0158000000000002E-2</v>
      </c>
      <c r="BB74" s="2">
        <v>2.5</v>
      </c>
      <c r="BC74" s="2">
        <v>0.78900000000000003</v>
      </c>
      <c r="BD74" s="2">
        <v>556.5</v>
      </c>
      <c r="BE74" s="2">
        <v>13.4</v>
      </c>
      <c r="BF74" s="2">
        <v>558.70000000000005</v>
      </c>
      <c r="BG74" s="2">
        <v>13.6</v>
      </c>
      <c r="BH74" s="2">
        <v>568</v>
      </c>
      <c r="BI74" s="2">
        <v>42.5</v>
      </c>
      <c r="BJ74" s="2">
        <v>556.5</v>
      </c>
      <c r="BK74" s="2">
        <v>13.4</v>
      </c>
      <c r="BL74" s="2">
        <v>98</v>
      </c>
    </row>
    <row r="75" spans="1:64" x14ac:dyDescent="0.2">
      <c r="A75" s="2" t="s">
        <v>47</v>
      </c>
      <c r="B75" s="2">
        <v>729</v>
      </c>
      <c r="C75" s="2">
        <v>35974</v>
      </c>
      <c r="D75" s="2">
        <v>11.27</v>
      </c>
      <c r="E75" s="2">
        <v>18.7896</v>
      </c>
      <c r="F75" s="2">
        <v>2.8</v>
      </c>
      <c r="G75" s="2">
        <v>0.39306999999999997</v>
      </c>
      <c r="H75" s="2">
        <v>3.5</v>
      </c>
      <c r="I75" s="2">
        <v>5.3589999999999999E-2</v>
      </c>
      <c r="J75" s="2">
        <v>2.1</v>
      </c>
      <c r="K75" s="2">
        <v>0.61299999999999999</v>
      </c>
      <c r="L75" s="2">
        <v>336.5</v>
      </c>
      <c r="M75" s="2">
        <v>7</v>
      </c>
      <c r="N75" s="2">
        <v>336.6</v>
      </c>
      <c r="O75" s="2">
        <v>10</v>
      </c>
      <c r="P75" s="2">
        <v>337.2</v>
      </c>
      <c r="Q75" s="2">
        <v>62.4</v>
      </c>
      <c r="R75" s="3">
        <v>336.5</v>
      </c>
      <c r="S75" s="2">
        <v>7</v>
      </c>
      <c r="T75" s="2">
        <v>99.8</v>
      </c>
      <c r="AS75" s="2" t="s">
        <v>380</v>
      </c>
      <c r="AT75" s="2">
        <v>1559</v>
      </c>
      <c r="AU75" s="2">
        <v>208283</v>
      </c>
      <c r="AV75" s="2">
        <v>0.94</v>
      </c>
      <c r="AW75" s="2">
        <v>13.2883</v>
      </c>
      <c r="AX75" s="2">
        <v>1.6</v>
      </c>
      <c r="AY75" s="2">
        <v>1.9346300000000001</v>
      </c>
      <c r="AZ75" s="2">
        <v>3</v>
      </c>
      <c r="BA75" s="2">
        <v>0.18653600000000001</v>
      </c>
      <c r="BB75" s="2">
        <v>2.6</v>
      </c>
      <c r="BC75" s="2">
        <v>0.85399999999999998</v>
      </c>
      <c r="BD75" s="2">
        <v>1102.5999999999999</v>
      </c>
      <c r="BE75" s="2">
        <v>26.3</v>
      </c>
      <c r="BF75" s="2">
        <v>1093.0999999999999</v>
      </c>
      <c r="BG75" s="2">
        <v>20.3</v>
      </c>
      <c r="BH75" s="2">
        <v>1074.4000000000001</v>
      </c>
      <c r="BI75" s="2">
        <v>31.8</v>
      </c>
      <c r="BJ75" s="2">
        <v>1074.4000000000001</v>
      </c>
      <c r="BK75" s="2">
        <v>31.8</v>
      </c>
      <c r="BL75" s="2">
        <v>102.6</v>
      </c>
    </row>
    <row r="76" spans="1:64" x14ac:dyDescent="0.2">
      <c r="A76" s="2" t="s">
        <v>65</v>
      </c>
      <c r="B76" s="2">
        <v>761</v>
      </c>
      <c r="C76" s="2">
        <v>305574</v>
      </c>
      <c r="D76" s="2">
        <v>10.83</v>
      </c>
      <c r="E76" s="2">
        <v>18.783899999999999</v>
      </c>
      <c r="F76" s="2">
        <v>2.5</v>
      </c>
      <c r="G76" s="2">
        <v>0.39743000000000001</v>
      </c>
      <c r="H76" s="2">
        <v>3.6</v>
      </c>
      <c r="I76" s="2">
        <v>5.4167E-2</v>
      </c>
      <c r="J76" s="2">
        <v>2.6</v>
      </c>
      <c r="K76" s="2">
        <v>0.71399999999999997</v>
      </c>
      <c r="L76" s="2">
        <v>340.1</v>
      </c>
      <c r="M76" s="2">
        <v>8.5</v>
      </c>
      <c r="N76" s="2">
        <v>339.8</v>
      </c>
      <c r="O76" s="2">
        <v>10.4</v>
      </c>
      <c r="P76" s="2">
        <v>337.9</v>
      </c>
      <c r="Q76" s="2">
        <v>57</v>
      </c>
      <c r="R76" s="3">
        <v>340.1</v>
      </c>
      <c r="S76" s="2">
        <v>8.5</v>
      </c>
      <c r="T76" s="2">
        <v>100.7</v>
      </c>
      <c r="AS76" s="2" t="s">
        <v>381</v>
      </c>
      <c r="AT76" s="2">
        <v>785</v>
      </c>
      <c r="AU76" s="2">
        <v>116712</v>
      </c>
      <c r="AV76" s="2">
        <v>1.46</v>
      </c>
      <c r="AW76" s="2">
        <v>17.923999999999999</v>
      </c>
      <c r="AX76" s="2">
        <v>1.7</v>
      </c>
      <c r="AY76" s="2">
        <v>0.53154000000000001</v>
      </c>
      <c r="AZ76" s="2">
        <v>3.1</v>
      </c>
      <c r="BA76" s="2">
        <v>6.9128999999999996E-2</v>
      </c>
      <c r="BB76" s="2">
        <v>2.6</v>
      </c>
      <c r="BC76" s="2">
        <v>0.83499999999999996</v>
      </c>
      <c r="BD76" s="2">
        <v>430.9</v>
      </c>
      <c r="BE76" s="2">
        <v>10.9</v>
      </c>
      <c r="BF76" s="2">
        <v>432.8</v>
      </c>
      <c r="BG76" s="2">
        <v>11</v>
      </c>
      <c r="BH76" s="2">
        <v>443</v>
      </c>
      <c r="BI76" s="2">
        <v>38.299999999999997</v>
      </c>
      <c r="BJ76" s="2">
        <v>430.9</v>
      </c>
      <c r="BK76" s="2">
        <v>10.9</v>
      </c>
      <c r="BL76" s="2">
        <v>97.3</v>
      </c>
    </row>
    <row r="77" spans="1:64" x14ac:dyDescent="0.2">
      <c r="A77" s="2" t="s">
        <v>83</v>
      </c>
      <c r="B77" s="2">
        <v>639</v>
      </c>
      <c r="C77" s="2">
        <v>119686</v>
      </c>
      <c r="D77" s="2">
        <v>11.74</v>
      </c>
      <c r="E77" s="2">
        <v>18.651199999999999</v>
      </c>
      <c r="F77" s="2">
        <v>2.6</v>
      </c>
      <c r="G77" s="2">
        <v>0.3992</v>
      </c>
      <c r="H77" s="2">
        <v>3.8</v>
      </c>
      <c r="I77" s="2">
        <v>5.4024000000000003E-2</v>
      </c>
      <c r="J77" s="2">
        <v>2.8</v>
      </c>
      <c r="K77" s="2">
        <v>0.73899999999999999</v>
      </c>
      <c r="L77" s="2">
        <v>339.2</v>
      </c>
      <c r="M77" s="2">
        <v>9.3000000000000007</v>
      </c>
      <c r="N77" s="2">
        <v>341.1</v>
      </c>
      <c r="O77" s="2">
        <v>11.1</v>
      </c>
      <c r="P77" s="2">
        <v>353.9</v>
      </c>
      <c r="Q77" s="2">
        <v>58.1</v>
      </c>
      <c r="R77" s="3">
        <v>339.2</v>
      </c>
      <c r="S77" s="2">
        <v>9.3000000000000007</v>
      </c>
      <c r="T77" s="2">
        <v>95.8</v>
      </c>
      <c r="AS77" s="2" t="s">
        <v>388</v>
      </c>
      <c r="AT77" s="2">
        <v>180</v>
      </c>
      <c r="AU77" s="2">
        <v>64876</v>
      </c>
      <c r="AV77" s="2">
        <v>1.92</v>
      </c>
      <c r="AW77" s="2">
        <v>13.1486</v>
      </c>
      <c r="AX77" s="2">
        <v>2.2000000000000002</v>
      </c>
      <c r="AY77" s="2">
        <v>1.9453</v>
      </c>
      <c r="AZ77" s="2">
        <v>3.5</v>
      </c>
      <c r="BA77" s="2">
        <v>0.18559200000000001</v>
      </c>
      <c r="BB77" s="2">
        <v>2.8</v>
      </c>
      <c r="BC77" s="2">
        <v>0.78700000000000003</v>
      </c>
      <c r="BD77" s="2">
        <v>1097.5</v>
      </c>
      <c r="BE77" s="2">
        <v>27.9</v>
      </c>
      <c r="BF77" s="2">
        <v>1096.8</v>
      </c>
      <c r="BG77" s="2">
        <v>23.6</v>
      </c>
      <c r="BH77" s="2">
        <v>1095.5999999999999</v>
      </c>
      <c r="BI77" s="2">
        <v>43.4</v>
      </c>
      <c r="BJ77" s="2">
        <v>1095.5999999999999</v>
      </c>
      <c r="BK77" s="2">
        <v>43.4</v>
      </c>
      <c r="BL77" s="2">
        <v>100.2</v>
      </c>
    </row>
    <row r="78" spans="1:64" x14ac:dyDescent="0.2">
      <c r="A78" s="2" t="s">
        <v>101</v>
      </c>
      <c r="B78" s="2">
        <v>779</v>
      </c>
      <c r="C78" s="2">
        <v>39844</v>
      </c>
      <c r="D78" s="2">
        <v>10.14</v>
      </c>
      <c r="E78" s="2">
        <v>18.6892</v>
      </c>
      <c r="F78" s="2">
        <v>2.8</v>
      </c>
      <c r="G78" s="2">
        <v>0.39731</v>
      </c>
      <c r="H78" s="2">
        <v>3.4</v>
      </c>
      <c r="I78" s="2">
        <v>5.3878000000000002E-2</v>
      </c>
      <c r="J78" s="2">
        <v>2</v>
      </c>
      <c r="K78" s="2">
        <v>0.57499999999999996</v>
      </c>
      <c r="L78" s="2">
        <v>338.3</v>
      </c>
      <c r="M78" s="2">
        <v>6.5</v>
      </c>
      <c r="N78" s="2">
        <v>339.7</v>
      </c>
      <c r="O78" s="2">
        <v>9.9</v>
      </c>
      <c r="P78" s="2">
        <v>349.3</v>
      </c>
      <c r="Q78" s="2">
        <v>63.4</v>
      </c>
      <c r="R78" s="3">
        <v>338.3</v>
      </c>
      <c r="S78" s="2">
        <v>6.5</v>
      </c>
      <c r="T78" s="2">
        <v>96.9</v>
      </c>
    </row>
    <row r="79" spans="1:64" x14ac:dyDescent="0.2">
      <c r="A79" s="2" t="s">
        <v>117</v>
      </c>
      <c r="B79" s="2">
        <v>502</v>
      </c>
      <c r="C79" s="2">
        <v>34610</v>
      </c>
      <c r="D79" s="2">
        <v>11.99</v>
      </c>
      <c r="E79" s="2">
        <v>18.634599999999999</v>
      </c>
      <c r="F79" s="2">
        <v>2.2999999999999998</v>
      </c>
      <c r="G79" s="2">
        <v>0.39866000000000001</v>
      </c>
      <c r="H79" s="2">
        <v>3.3</v>
      </c>
      <c r="I79" s="2">
        <v>5.3903E-2</v>
      </c>
      <c r="J79" s="2">
        <v>2.2999999999999998</v>
      </c>
      <c r="K79" s="2">
        <v>0.7</v>
      </c>
      <c r="L79" s="2">
        <v>338.4</v>
      </c>
      <c r="M79" s="2">
        <v>7.5</v>
      </c>
      <c r="N79" s="2">
        <v>340.7</v>
      </c>
      <c r="O79" s="2">
        <v>9.5</v>
      </c>
      <c r="P79" s="2">
        <v>355.9</v>
      </c>
      <c r="Q79" s="2">
        <v>52.7</v>
      </c>
      <c r="R79" s="3">
        <v>338.4</v>
      </c>
      <c r="S79" s="2">
        <v>7.5</v>
      </c>
      <c r="T79" s="2">
        <v>95.1</v>
      </c>
    </row>
    <row r="80" spans="1:64" x14ac:dyDescent="0.2">
      <c r="A80" s="2" t="s">
        <v>148</v>
      </c>
      <c r="B80" s="2">
        <v>966</v>
      </c>
      <c r="C80" s="2">
        <v>51934</v>
      </c>
      <c r="D80" s="2">
        <v>7.92</v>
      </c>
      <c r="E80" s="2">
        <v>19.024100000000001</v>
      </c>
      <c r="F80" s="2">
        <v>2.2999999999999998</v>
      </c>
      <c r="G80" s="2">
        <v>0.38985999999999998</v>
      </c>
      <c r="H80" s="2">
        <v>3.1</v>
      </c>
      <c r="I80" s="2">
        <v>5.3816000000000003E-2</v>
      </c>
      <c r="J80" s="2">
        <v>2.2000000000000002</v>
      </c>
      <c r="K80" s="2">
        <v>0.69199999999999995</v>
      </c>
      <c r="L80" s="2">
        <v>337.9</v>
      </c>
      <c r="M80" s="2">
        <v>7.1</v>
      </c>
      <c r="N80" s="2">
        <v>334.3</v>
      </c>
      <c r="O80" s="2">
        <v>8.9</v>
      </c>
      <c r="P80" s="2">
        <v>309</v>
      </c>
      <c r="Q80" s="2">
        <v>51.3</v>
      </c>
      <c r="R80" s="3">
        <v>337.9</v>
      </c>
      <c r="S80" s="2">
        <v>7.1</v>
      </c>
      <c r="T80" s="2">
        <v>109.4</v>
      </c>
    </row>
    <row r="81" spans="1:20" x14ac:dyDescent="0.2">
      <c r="A81" s="2" t="s">
        <v>482</v>
      </c>
      <c r="B81" s="2">
        <v>617</v>
      </c>
      <c r="C81" s="2">
        <v>46211</v>
      </c>
      <c r="D81" s="2">
        <v>11.74</v>
      </c>
      <c r="E81" s="2">
        <v>18.6997</v>
      </c>
      <c r="F81" s="2">
        <v>2.2999999999999998</v>
      </c>
      <c r="G81" s="2">
        <v>0.39266000000000001</v>
      </c>
      <c r="H81" s="2">
        <v>3.1</v>
      </c>
      <c r="I81" s="2">
        <v>5.3276999999999998E-2</v>
      </c>
      <c r="J81" s="2">
        <v>2.1</v>
      </c>
      <c r="K81" s="2">
        <v>0.68200000000000005</v>
      </c>
      <c r="L81" s="2">
        <v>334.6</v>
      </c>
      <c r="M81" s="2">
        <v>7</v>
      </c>
      <c r="N81" s="2">
        <v>336.3</v>
      </c>
      <c r="O81" s="2">
        <v>9</v>
      </c>
      <c r="P81" s="2">
        <v>348.1</v>
      </c>
      <c r="Q81" s="2">
        <v>51.7</v>
      </c>
      <c r="R81" s="3">
        <v>334.6</v>
      </c>
      <c r="S81" s="2">
        <v>7</v>
      </c>
      <c r="T81" s="2">
        <v>96.1</v>
      </c>
    </row>
    <row r="83" spans="1:20" x14ac:dyDescent="0.2">
      <c r="R83" s="3">
        <f>AVERAGE(R25:R73)</f>
        <v>338.12448979591841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MR24-15</vt:lpstr>
      <vt:lpstr>Sheet5</vt:lpstr>
      <vt:lpstr>MR24-13</vt:lpstr>
      <vt:lpstr>MR24-16</vt:lpstr>
      <vt:lpstr>MR24-10</vt:lpstr>
      <vt:lpstr>MR24-12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VanTongeren, Jill Anne</cp:lastModifiedBy>
  <dcterms:created xsi:type="dcterms:W3CDTF">2025-07-16T12:38:21Z</dcterms:created>
  <dcterms:modified xsi:type="dcterms:W3CDTF">2025-08-04T15:21:30Z</dcterms:modified>
</cp:coreProperties>
</file>